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Risk Allocation" sheetId="3" state="visible" r:id="rId3"/>
  </sheets>
  <definedNames>
    <definedName name="StartYear">Inputs!$B$6</definedName>
    <definedName name="IraStartAge">Inputs!$D$4</definedName>
    <definedName name="CarolStartAge">Inputs!$D$5</definedName>
    <definedName name="StartAfterTax">Inputs!$B$9</definedName>
    <definedName name="StartIRA">Inputs!$B$10</definedName>
    <definedName name="StartRoth">Inputs!$B$11</definedName>
    <definedName name="SSMonthly">Inputs!$B$14</definedName>
    <definedName name="SSAnnual">Inputs!$D$14</definedName>
    <definedName name="StartExpenses">Inputs!$B$15</definedName>
    <definedName name="ExpenseInflation">Inputs!$B$18</definedName>
    <definedName name="SSCOLA">Inputs!$B$19</definedName>
    <definedName name="ReturnAfterTax">Inputs!$B$20</definedName>
    <definedName name="ReturnIRA">Inputs!$B$21</definedName>
    <definedName name="ReturnRoth">Inputs!$B$22</definedName>
    <definedName name="DiscountRate">Inputs!$B$23</definedName>
    <definedName name="StdDeduction">Inputs!$B$28</definedName>
    <definedName name="TaxBracketInflation">Inputs!$B$29</definedName>
    <definedName name="ILTaxRate">Inputs!$B$30</definedName>
    <definedName name="CapGainsPct">Inputs!$B$31</definedName>
    <definedName name="NIITThreshold">Inputs!$B$32</definedName>
    <definedName name="MAGI2024">Inputs!$B$35</definedName>
    <definedName name="MAGI2025">Inputs!$B$36</definedName>
    <definedName name="DeathAge">Inputs!$B$39</definedName>
    <definedName name="SurvivorSS">Inputs!$B$40</definedName>
    <definedName name="StdDeductionSingle">Inputs!$B$45</definedName>
    <definedName name="NIITThresholdSingle">Inputs!$B$46</definedName>
    <definedName name="HeirTaxRate">Inputs!$P$6</definedName>
    <definedName name="RothConvTable">Inputs!$F$5:$G$34</definedName>
    <definedName name="OtherIncomeTable">Inputs!$I$5:$J$34</definedName>
    <definedName name="DiscretionaryTable">Inputs!$L$5:$M$34</definedName>
    <definedName name="RMDTable">Inputs!$A$50:$B$93</definedName>
    <definedName name="IRMAATableMFJ">Inputs!$D$50:$E$55</definedName>
    <definedName name="IRMAATableSingle">Inputs!$G$50:$H$55</definedName>
    <definedName name="IRMAA_MFJ_Thresh1">Inputs!$D$50</definedName>
    <definedName name="IRMAA_MFJ_Thresh2">Inputs!$D$51</definedName>
    <definedName name="IRMAA_MFJ_Thresh3">Inputs!$D$52</definedName>
    <definedName name="IRMAA_MFJ_Thresh4">Inputs!$D$53</definedName>
    <definedName name="IRMAA_MFJ_Thresh5">Inputs!$D$54</definedName>
    <definedName name="IRMAA_MFJ_Cost1">Inputs!$E$50</definedName>
    <definedName name="IRMAA_MFJ_Cost2">Inputs!$E$51</definedName>
    <definedName name="IRMAA_MFJ_Cost3">Inputs!$E$52</definedName>
    <definedName name="IRMAA_MFJ_Cost4">Inputs!$E$53</definedName>
    <definedName name="IRMAA_MFJ_Cost5">Inputs!$E$54</definedName>
    <definedName name="IRMAA_MFJ_Cost6">Inputs!$E$55</definedName>
    <definedName name="IRMAA_Single_Thresh1">Inputs!$G$50</definedName>
    <definedName name="IRMAA_Single_Thresh2">Inputs!$G$51</definedName>
    <definedName name="IRMAA_Single_Thresh3">Inputs!$G$52</definedName>
    <definedName name="IRMAA_Single_Thresh4">Inputs!$G$53</definedName>
    <definedName name="IRMAA_Single_Thresh5">Inputs!$G$54</definedName>
    <definedName name="IRMAA_Single_Cost1">Inputs!$H$50</definedName>
    <definedName name="IRMAA_Single_Cost2">Inputs!$H$51</definedName>
    <definedName name="IRMAA_Single_Cost3">Inputs!$H$52</definedName>
    <definedName name="IRMAA_Single_Cost4">Inputs!$H$53</definedName>
    <definedName name="IRMAA_Single_Cost5">Inputs!$H$54</definedName>
    <definedName name="IRMAA_Single_Cost6">Inputs!$H$55</definedName>
    <definedName name="LowRiskReturn">Inputs!$P$9</definedName>
    <definedName name="ModRiskReturn">Inputs!$P$10</definedName>
    <definedName name="HighRiskReturn">Inputs!$P$11</definedName>
    <definedName name="LowRiskTarget">Inputs!$P$12</definedName>
    <definedName name="ModRiskTarget">Inputs!$P$13</definedName>
    <definedName name="UseBlendedReturns">Inputs!$P$16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color rgb="000000FF"/>
    </font>
    <font>
      <i val="1"/>
      <color rgb="00808080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D9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165" fontId="3" fillId="2" borderId="0" pivotButton="0" quotePrefix="0" xfId="0"/>
    <xf numFmtId="164" fontId="3" fillId="2" borderId="0" pivotButton="0" quotePrefix="0" xfId="0"/>
    <xf numFmtId="0" fontId="3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Balances (Present Value in 2026$)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'Projections'!A57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'Projections'!$B$1:$AE$1</f>
            </numRef>
          </cat>
          <val>
            <numRef>
              <f>'Projections'!$B$57:$AE$57</f>
            </numRef>
          </val>
        </ser>
        <ser>
          <idx val="1"/>
          <order val="1"/>
          <tx>
            <strRef>
              <f>'Projections'!A58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'Projections'!$B$1:$AE$1</f>
            </numRef>
          </cat>
          <val>
            <numRef>
              <f>'Projections'!$B$58:$AE$58</f>
            </numRef>
          </val>
        </ser>
        <ser>
          <idx val="2"/>
          <order val="2"/>
          <tx>
            <strRef>
              <f>'Projections'!A59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'Projections'!$B$1:$AE$1</f>
            </numRef>
          </cat>
          <val>
            <numRef>
              <f>'Projections'!$B$59:$AE$59</f>
            </numRef>
          </val>
        </ser>
        <ser>
          <idx val="3"/>
          <order val="3"/>
          <tx>
            <strRef>
              <f>'Projections'!A60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'Projections'!$B$1:$AE$1</f>
            </numRef>
          </cat>
          <val>
            <numRef>
              <f>'Projections'!$B$60:$AE$60</f>
            </numRef>
          </val>
        </ser>
        <ser>
          <idx val="4"/>
          <order val="4"/>
          <tx>
            <strRef>
              <f>'Projections'!A61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'Projections'!$B$1:$AE$1</f>
            </numRef>
          </cat>
          <val>
            <numRef>
              <f>'Projections'!$B$61:$AE$61</f>
            </numRef>
          </val>
        </ser>
        <ser>
          <idx val="5"/>
          <order val="5"/>
          <tx>
            <strRef>
              <f>'Projections'!A62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'Projections'!$B$1:$AE$1</f>
            </numRef>
          </cat>
          <val>
            <numRef>
              <f>'Projections'!$B$62:$AE$62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 (2026 Present Value)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 Documentation</author>
  </authors>
  <commentList>
    <comment ref="A4" authorId="0" shapeId="0">
      <text>
        <t>TRUE if DeathAge is blank OR Ira's current age &lt; DeathAge.
Used to switch between MFJ and Single tax calculations.</t>
      </text>
    </comment>
    <comment ref="A10" authorId="0" shapeId="0">
      <text>
        <t>Sum of After-Tax + IRA + Roth (rows 7+8+9)</t>
      </text>
    </comment>
    <comment ref="A16" authorId="0" shapeId="0">
      <text>
        <t>IRA balance ÷ RMD divisor (from RMDTable).
Uses Carol's age after Ira dies.</t>
      </text>
    </comment>
    <comment ref="A26" authorId="0" shapeId="0">
      <text>
        <t>Medicare premium surcharge based on MAGI from 2 years prior.
Uses Single IRMAA table if Ira not alive.</t>
      </text>
    </comment>
    <comment ref="A27" authorId="0" shapeId="0">
      <text>
        <t>Quick estimate for withdrawal planning.
Actual tax computed in rows 43-47.</t>
      </text>
    </comment>
    <comment ref="A28" authorId="0" shapeId="0">
      <text>
        <t>Expenses + IRMAA + Est Tax - SS - Other Income.
Determines how much to withdraw from accounts.</t>
      </text>
    </comment>
    <comment ref="A47" authorId="0" shapeId="0">
      <text>
        <t>Fed Ordinary + Fed Cap Gains + NIIT + IL Tax</t>
      </text>
    </comment>
    <comment ref="A53" authorId="0" shapeId="0">
      <text>
        <t>After-Tax + IRA + Roth (rows 50+51+52)</t>
      </text>
    </comment>
    <comment ref="A54" authorId="0" shapeId="0">
      <text>
        <t>Heir value = After-Tax (step-up basis) + IRA × (1-HeirTaxRate) + Roth.
Heirs pay ~42% tax on inherited IRA but 0% on Roth.</t>
      </text>
    </comment>
    <comment ref="A60" authorId="0" shapeId="0">
      <text>
        <t>Total account value in 2026 dollars.
Discounted at DiscountRate (default 6%).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4" customWidth="1" min="4" max="4"/>
    <col width="12" customWidth="1" min="5" max="5"/>
    <col width="8" customWidth="1" min="6" max="6"/>
    <col width="14" customWidth="1" min="7" max="7"/>
    <col width="12" customWidth="1" min="8" max="8"/>
    <col width="8" customWidth="1" min="9" max="9"/>
    <col width="12" customWidth="1" min="10" max="10"/>
    <col width="8" customWidth="1" min="12" max="12"/>
    <col width="12" customWidth="1" min="13" max="13"/>
    <col width="22" customWidth="1" min="15" max="15"/>
    <col width="12" customWidth="1" min="16" max="16"/>
  </cols>
  <sheetData>
    <row r="1">
      <c r="A1" s="1" t="inlineStr">
        <is>
          <t>RETIREMENT PLANNING MODEL - IRA &amp; CAROL</t>
        </is>
      </c>
    </row>
    <row r="3">
      <c r="A3" s="2" t="inlineStr">
        <is>
          <t>PERSONAL INFORMATION</t>
        </is>
      </c>
      <c r="F3" s="2" t="inlineStr">
        <is>
          <t>ROTH CONVERSIONS</t>
        </is>
      </c>
      <c r="I3" s="2" t="inlineStr">
        <is>
          <t>OTHER INCOME</t>
        </is>
      </c>
      <c r="L3" s="2" t="inlineStr">
        <is>
          <t>DISCRETIONARY W/D</t>
        </is>
      </c>
      <c r="O3" s="2" t="inlineStr">
        <is>
          <t>HEIR TAX PARAMETERS</t>
        </is>
      </c>
    </row>
    <row r="4">
      <c r="A4" t="inlineStr">
        <is>
          <t>Ira's Birth Date:</t>
        </is>
      </c>
      <c r="B4" t="inlineStr">
        <is>
          <t>Feb 17, 1955</t>
        </is>
      </c>
      <c r="C4" t="inlineStr">
        <is>
          <t>Age in 2026:</t>
        </is>
      </c>
      <c r="D4" t="n">
        <v>71</v>
      </c>
      <c r="F4" s="3" t="inlineStr">
        <is>
          <t>Year</t>
        </is>
      </c>
      <c r="G4" s="3" t="inlineStr">
        <is>
          <t>Amount</t>
        </is>
      </c>
      <c r="I4" s="3" t="inlineStr">
        <is>
          <t>Year</t>
        </is>
      </c>
      <c r="J4" s="3" t="inlineStr">
        <is>
          <t>Amount</t>
        </is>
      </c>
      <c r="L4" s="3" t="inlineStr">
        <is>
          <t>Year</t>
        </is>
      </c>
      <c r="M4" s="3" t="inlineStr">
        <is>
          <t>Amount</t>
        </is>
      </c>
      <c r="O4" t="inlineStr">
        <is>
          <t>Heirs' Fed Tax Rate:</t>
        </is>
      </c>
      <c r="P4" s="4" t="n">
        <v>0.37</v>
      </c>
    </row>
    <row r="5">
      <c r="A5" t="inlineStr">
        <is>
          <t>Carol's Birth Date:</t>
        </is>
      </c>
      <c r="B5" t="inlineStr">
        <is>
          <t>Jul 17, 1954</t>
        </is>
      </c>
      <c r="C5" t="inlineStr">
        <is>
          <t>Age in 2026:</t>
        </is>
      </c>
      <c r="D5" t="n">
        <v>72</v>
      </c>
      <c r="F5">
        <f>StartYear+0</f>
        <v/>
      </c>
      <c r="G5" s="5" t="n">
        <v>700000</v>
      </c>
      <c r="I5">
        <f>StartYear+0</f>
        <v/>
      </c>
      <c r="J5" s="5" t="n">
        <v>0</v>
      </c>
      <c r="L5">
        <f>StartYear+0</f>
        <v/>
      </c>
      <c r="M5" s="5" t="n">
        <v>0</v>
      </c>
      <c r="O5" t="inlineStr">
        <is>
          <t>Heirs' State Tax Rate:</t>
        </is>
      </c>
      <c r="P5" s="4" t="n">
        <v>0.0495</v>
      </c>
    </row>
    <row r="6">
      <c r="A6" t="inlineStr">
        <is>
          <t>Starting Year:</t>
        </is>
      </c>
      <c r="B6" s="6" t="n">
        <v>2026</v>
      </c>
      <c r="F6">
        <f>StartYear+1</f>
        <v/>
      </c>
      <c r="G6" s="5" t="n">
        <v>700000</v>
      </c>
      <c r="I6">
        <f>StartYear+1</f>
        <v/>
      </c>
      <c r="J6" s="5" t="n">
        <v>0</v>
      </c>
      <c r="L6">
        <f>StartYear+1</f>
        <v/>
      </c>
      <c r="M6" s="5" t="n">
        <v>0</v>
      </c>
      <c r="O6" t="inlineStr">
        <is>
          <t>Combined Heir Rate:</t>
        </is>
      </c>
      <c r="P6" s="7">
        <f>P4+P5</f>
        <v/>
      </c>
    </row>
    <row r="7">
      <c r="F7">
        <f>StartYear+2</f>
        <v/>
      </c>
      <c r="G7" s="5" t="n">
        <v>0</v>
      </c>
      <c r="I7">
        <f>StartYear+2</f>
        <v/>
      </c>
      <c r="J7" s="5" t="n">
        <v>0</v>
      </c>
      <c r="L7">
        <f>StartYear+2</f>
        <v/>
      </c>
      <c r="M7" s="5" t="n">
        <v>0</v>
      </c>
    </row>
    <row r="8">
      <c r="A8" s="2" t="inlineStr">
        <is>
          <t>STARTING ACCOUNT BALANCES</t>
        </is>
      </c>
      <c r="F8">
        <f>StartYear+3</f>
        <v/>
      </c>
      <c r="G8" s="5" t="n">
        <v>0</v>
      </c>
      <c r="I8">
        <f>StartYear+3</f>
        <v/>
      </c>
      <c r="J8" s="5" t="n">
        <v>0</v>
      </c>
      <c r="L8">
        <f>StartYear+3</f>
        <v/>
      </c>
      <c r="M8" s="5" t="n">
        <v>0</v>
      </c>
      <c r="O8" s="2" t="inlineStr">
        <is>
          <t>RISK ALLOCATION</t>
        </is>
      </c>
    </row>
    <row r="9">
      <c r="A9" t="inlineStr">
        <is>
          <t>Joint After-Tax Account:</t>
        </is>
      </c>
      <c r="B9" s="5" t="n">
        <v>474000</v>
      </c>
      <c r="F9">
        <f>StartYear+4</f>
        <v/>
      </c>
      <c r="G9" s="5" t="n">
        <v>0</v>
      </c>
      <c r="I9">
        <f>StartYear+4</f>
        <v/>
      </c>
      <c r="J9" s="5" t="n">
        <v>0</v>
      </c>
      <c r="L9">
        <f>StartYear+4</f>
        <v/>
      </c>
      <c r="M9" s="5" t="n">
        <v>0</v>
      </c>
      <c r="O9" t="inlineStr">
        <is>
          <t>Low Risk Return:</t>
        </is>
      </c>
      <c r="P9" s="4" t="n">
        <v>0.04</v>
      </c>
    </row>
    <row r="10">
      <c r="A10" t="inlineStr">
        <is>
          <t>Combined Traditional IRA:</t>
        </is>
      </c>
      <c r="B10" s="5" t="n">
        <v>6121000</v>
      </c>
      <c r="F10">
        <f>StartYear+5</f>
        <v/>
      </c>
      <c r="G10" s="5" t="n">
        <v>0</v>
      </c>
      <c r="I10">
        <f>StartYear+5</f>
        <v/>
      </c>
      <c r="J10" s="5" t="n">
        <v>0</v>
      </c>
      <c r="L10">
        <f>StartYear+5</f>
        <v/>
      </c>
      <c r="M10" s="5" t="n">
        <v>0</v>
      </c>
      <c r="O10" t="inlineStr">
        <is>
          <t>Moderate Risk Return:</t>
        </is>
      </c>
      <c r="P10" s="4" t="n">
        <v>0.06</v>
      </c>
    </row>
    <row r="11">
      <c r="A11" t="inlineStr">
        <is>
          <t>Combined Roth IRA:</t>
        </is>
      </c>
      <c r="B11" s="5" t="n">
        <v>2612000</v>
      </c>
      <c r="F11">
        <f>StartYear+6</f>
        <v/>
      </c>
      <c r="G11" s="5" t="n">
        <v>0</v>
      </c>
      <c r="I11">
        <f>StartYear+6</f>
        <v/>
      </c>
      <c r="J11" s="5" t="n">
        <v>0</v>
      </c>
      <c r="L11">
        <f>StartYear+6</f>
        <v/>
      </c>
      <c r="M11" s="5" t="n">
        <v>0</v>
      </c>
      <c r="O11" t="inlineStr">
        <is>
          <t>High Risk Return:</t>
        </is>
      </c>
      <c r="P11" s="4" t="n">
        <v>0.08</v>
      </c>
    </row>
    <row r="12">
      <c r="F12">
        <f>StartYear+7</f>
        <v/>
      </c>
      <c r="G12" s="5" t="n">
        <v>0</v>
      </c>
      <c r="I12">
        <f>StartYear+7</f>
        <v/>
      </c>
      <c r="J12" s="5" t="n">
        <v>0</v>
      </c>
      <c r="L12">
        <f>StartYear+7</f>
        <v/>
      </c>
      <c r="M12" s="5" t="n">
        <v>0</v>
      </c>
      <c r="O12" t="inlineStr">
        <is>
          <t>Low Risk Target $:</t>
        </is>
      </c>
      <c r="P12" s="5" t="n">
        <v>474000</v>
      </c>
    </row>
    <row r="13">
      <c r="A13" s="2" t="inlineStr">
        <is>
          <t>SOCIAL SECURITY</t>
        </is>
      </c>
      <c r="F13">
        <f>StartYear+8</f>
        <v/>
      </c>
      <c r="G13" s="5" t="n">
        <v>0</v>
      </c>
      <c r="I13">
        <f>StartYear+8</f>
        <v/>
      </c>
      <c r="J13" s="5" t="n">
        <v>0</v>
      </c>
      <c r="L13">
        <f>StartYear+8</f>
        <v/>
      </c>
      <c r="M13" s="5" t="n">
        <v>0</v>
      </c>
      <c r="O13" t="inlineStr">
        <is>
          <t>Moderate Risk Target $:</t>
        </is>
      </c>
      <c r="P13" s="5" t="n">
        <v>6121000</v>
      </c>
    </row>
    <row r="14">
      <c r="A14" t="inlineStr">
        <is>
          <t>Monthly (2026):</t>
        </is>
      </c>
      <c r="B14" s="5" t="n">
        <v>5800</v>
      </c>
      <c r="C14" t="inlineStr">
        <is>
          <t>Annual:</t>
        </is>
      </c>
      <c r="D14" s="8">
        <f>B14*12</f>
        <v/>
      </c>
      <c r="F14">
        <f>StartYear+9</f>
        <v/>
      </c>
      <c r="G14" s="5" t="n">
        <v>0</v>
      </c>
      <c r="I14">
        <f>StartYear+9</f>
        <v/>
      </c>
      <c r="J14" s="5" t="n">
        <v>0</v>
      </c>
      <c r="L14">
        <f>StartYear+9</f>
        <v/>
      </c>
      <c r="M14" s="5" t="n">
        <v>0</v>
      </c>
      <c r="O14" t="inlineStr">
        <is>
          <t>High Risk Target $:</t>
        </is>
      </c>
      <c r="P14" s="9" t="inlineStr">
        <is>
          <t>(Remainder)</t>
        </is>
      </c>
    </row>
    <row r="15">
      <c r="A15" t="inlineStr">
        <is>
          <t>Starting Annual Expenses:</t>
        </is>
      </c>
      <c r="B15" s="5" t="n">
        <v>180000</v>
      </c>
      <c r="F15">
        <f>StartYear+10</f>
        <v/>
      </c>
      <c r="G15" s="5" t="n">
        <v>0</v>
      </c>
      <c r="I15">
        <f>StartYear+10</f>
        <v/>
      </c>
      <c r="J15" s="5" t="n">
        <v>0</v>
      </c>
      <c r="L15">
        <f>StartYear+10</f>
        <v/>
      </c>
      <c r="M15" s="5" t="n">
        <v>0</v>
      </c>
    </row>
    <row r="16">
      <c r="F16">
        <f>StartYear+11</f>
        <v/>
      </c>
      <c r="G16" s="5" t="n">
        <v>0</v>
      </c>
      <c r="I16">
        <f>StartYear+11</f>
        <v/>
      </c>
      <c r="J16" s="5" t="n">
        <v>0</v>
      </c>
      <c r="L16">
        <f>StartYear+11</f>
        <v/>
      </c>
      <c r="M16" s="5" t="n">
        <v>0</v>
      </c>
      <c r="O16" t="inlineStr">
        <is>
          <t>Use Blended Returns:</t>
        </is>
      </c>
      <c r="P16" s="6" t="inlineStr">
        <is>
          <t>No</t>
        </is>
      </c>
      <c r="Q16" s="9" t="inlineStr">
        <is>
          <t>(Yes/No)</t>
        </is>
      </c>
    </row>
    <row r="17">
      <c r="A17" s="2" t="inlineStr">
        <is>
          <t>RATES &amp; ASSUMPTIONS</t>
        </is>
      </c>
      <c r="F17">
        <f>StartYear+12</f>
        <v/>
      </c>
      <c r="G17" s="5" t="n">
        <v>0</v>
      </c>
      <c r="I17">
        <f>StartYear+12</f>
        <v/>
      </c>
      <c r="J17" s="5" t="n">
        <v>0</v>
      </c>
      <c r="L17">
        <f>StartYear+12</f>
        <v/>
      </c>
      <c r="M17" s="5" t="n">
        <v>0</v>
      </c>
    </row>
    <row r="18">
      <c r="A18" t="inlineStr">
        <is>
          <t>Expense Inflation Rate:</t>
        </is>
      </c>
      <c r="B18" s="4" t="n">
        <v>0.03</v>
      </c>
      <c r="F18">
        <f>StartYear+13</f>
        <v/>
      </c>
      <c r="G18" s="5" t="n">
        <v>0</v>
      </c>
      <c r="I18">
        <f>StartYear+13</f>
        <v/>
      </c>
      <c r="J18" s="5" t="n">
        <v>0</v>
      </c>
      <c r="L18">
        <f>StartYear+13</f>
        <v/>
      </c>
      <c r="M18" s="5" t="n">
        <v>0</v>
      </c>
    </row>
    <row r="19">
      <c r="A19" t="inlineStr">
        <is>
          <t>Social Security COLA:</t>
        </is>
      </c>
      <c r="B19" s="4" t="n">
        <v>0.025</v>
      </c>
      <c r="F19">
        <f>StartYear+14</f>
        <v/>
      </c>
      <c r="G19" s="5" t="n">
        <v>0</v>
      </c>
      <c r="I19">
        <f>StartYear+14</f>
        <v/>
      </c>
      <c r="J19" s="5" t="n">
        <v>0</v>
      </c>
      <c r="L19">
        <f>StartYear+14</f>
        <v/>
      </c>
      <c r="M19" s="5" t="n">
        <v>0</v>
      </c>
    </row>
    <row r="20">
      <c r="A20" t="inlineStr">
        <is>
          <t>After-Tax Account Return:</t>
        </is>
      </c>
      <c r="B20" s="4" t="n">
        <v>0.04</v>
      </c>
      <c r="F20">
        <f>StartYear+15</f>
        <v/>
      </c>
      <c r="G20" s="5" t="n">
        <v>0</v>
      </c>
      <c r="I20">
        <f>StartYear+15</f>
        <v/>
      </c>
      <c r="J20" s="5" t="n">
        <v>0</v>
      </c>
      <c r="L20">
        <f>StartYear+15</f>
        <v/>
      </c>
      <c r="M20" s="5" t="n">
        <v>0</v>
      </c>
    </row>
    <row r="21">
      <c r="A21" t="inlineStr">
        <is>
          <t>Traditional IRA Return:</t>
        </is>
      </c>
      <c r="B21" s="4" t="n">
        <v>0.06</v>
      </c>
      <c r="F21">
        <f>StartYear+16</f>
        <v/>
      </c>
      <c r="G21" s="5" t="n">
        <v>0</v>
      </c>
      <c r="I21">
        <f>StartYear+16</f>
        <v/>
      </c>
      <c r="J21" s="5" t="n">
        <v>0</v>
      </c>
      <c r="L21">
        <f>StartYear+16</f>
        <v/>
      </c>
      <c r="M21" s="5" t="n">
        <v>0</v>
      </c>
    </row>
    <row r="22">
      <c r="A22" t="inlineStr">
        <is>
          <t>Roth IRA Return:</t>
        </is>
      </c>
      <c r="B22" s="4" t="n">
        <v>0.08</v>
      </c>
      <c r="F22">
        <f>StartYear+17</f>
        <v/>
      </c>
      <c r="G22" s="5" t="n">
        <v>0</v>
      </c>
      <c r="I22">
        <f>StartYear+17</f>
        <v/>
      </c>
      <c r="J22" s="5" t="n">
        <v>0</v>
      </c>
      <c r="L22">
        <f>StartYear+17</f>
        <v/>
      </c>
      <c r="M22" s="5" t="n">
        <v>0</v>
      </c>
    </row>
    <row r="23">
      <c r="A23" t="inlineStr">
        <is>
          <t>Discount Rate (for PV):</t>
        </is>
      </c>
      <c r="B23" s="4" t="n">
        <v>0.03</v>
      </c>
      <c r="F23">
        <f>StartYear+18</f>
        <v/>
      </c>
      <c r="G23" s="5" t="n">
        <v>0</v>
      </c>
      <c r="I23">
        <f>StartYear+18</f>
        <v/>
      </c>
      <c r="J23" s="5" t="n">
        <v>0</v>
      </c>
      <c r="L23">
        <f>StartYear+18</f>
        <v/>
      </c>
      <c r="M23" s="5" t="n">
        <v>0</v>
      </c>
    </row>
    <row r="24">
      <c r="F24">
        <f>StartYear+19</f>
        <v/>
      </c>
      <c r="G24" s="5" t="n">
        <v>0</v>
      </c>
      <c r="I24">
        <f>StartYear+19</f>
        <v/>
      </c>
      <c r="J24" s="5" t="n">
        <v>0</v>
      </c>
      <c r="L24">
        <f>StartYear+19</f>
        <v/>
      </c>
      <c r="M24" s="5" t="n">
        <v>0</v>
      </c>
    </row>
    <row r="25">
      <c r="A25" s="2" t="inlineStr">
        <is>
          <t>TAX PARAMETERS</t>
        </is>
      </c>
      <c r="F25">
        <f>StartYear+20</f>
        <v/>
      </c>
      <c r="G25" s="5" t="n">
        <v>0</v>
      </c>
      <c r="I25">
        <f>StartYear+20</f>
        <v/>
      </c>
      <c r="J25" s="5" t="n">
        <v>0</v>
      </c>
      <c r="L25">
        <f>StartYear+20</f>
        <v/>
      </c>
      <c r="M25" s="5" t="n">
        <v>0</v>
      </c>
    </row>
    <row r="26">
      <c r="A26" t="inlineStr">
        <is>
          <t>Standard Deduction (2024 base):</t>
        </is>
      </c>
      <c r="B26" s="8" t="n">
        <v>29200</v>
      </c>
      <c r="F26">
        <f>StartYear+21</f>
        <v/>
      </c>
      <c r="G26" s="5" t="n">
        <v>0</v>
      </c>
      <c r="I26">
        <f>StartYear+21</f>
        <v/>
      </c>
      <c r="J26" s="5" t="n">
        <v>0</v>
      </c>
      <c r="L26">
        <f>StartYear+21</f>
        <v/>
      </c>
      <c r="M26" s="5" t="n">
        <v>0</v>
      </c>
    </row>
    <row r="27">
      <c r="A27" t="inlineStr">
        <is>
          <t>Senior Bonus (both 65+):</t>
        </is>
      </c>
      <c r="B27" s="8" t="n">
        <v>3100</v>
      </c>
      <c r="F27">
        <f>StartYear+22</f>
        <v/>
      </c>
      <c r="G27" s="5" t="n">
        <v>0</v>
      </c>
      <c r="I27">
        <f>StartYear+22</f>
        <v/>
      </c>
      <c r="J27" s="5" t="n">
        <v>0</v>
      </c>
      <c r="L27">
        <f>StartYear+22</f>
        <v/>
      </c>
      <c r="M27" s="5" t="n">
        <v>0</v>
      </c>
    </row>
    <row r="28">
      <c r="A28" t="inlineStr">
        <is>
          <t>Total Std Deduction (base):</t>
        </is>
      </c>
      <c r="B28" s="8">
        <f>B26+B27</f>
        <v/>
      </c>
      <c r="F28">
        <f>StartYear+23</f>
        <v/>
      </c>
      <c r="G28" s="5" t="n">
        <v>0</v>
      </c>
      <c r="I28">
        <f>StartYear+23</f>
        <v/>
      </c>
      <c r="J28" s="5" t="n">
        <v>0</v>
      </c>
      <c r="L28">
        <f>StartYear+23</f>
        <v/>
      </c>
      <c r="M28" s="5" t="n">
        <v>0</v>
      </c>
    </row>
    <row r="29">
      <c r="A29" t="inlineStr">
        <is>
          <t>Tax Bracket Inflation:</t>
        </is>
      </c>
      <c r="B29" s="4" t="n">
        <v>0.025</v>
      </c>
      <c r="F29">
        <f>StartYear+24</f>
        <v/>
      </c>
      <c r="G29" s="5" t="n">
        <v>0</v>
      </c>
      <c r="I29">
        <f>StartYear+24</f>
        <v/>
      </c>
      <c r="J29" s="5" t="n">
        <v>0</v>
      </c>
      <c r="L29">
        <f>StartYear+24</f>
        <v/>
      </c>
      <c r="M29" s="5" t="n">
        <v>0</v>
      </c>
    </row>
    <row r="30">
      <c r="A30" t="inlineStr">
        <is>
          <t>IL State Tax Rate:</t>
        </is>
      </c>
      <c r="B30" s="7" t="n">
        <v>0.0495</v>
      </c>
      <c r="F30">
        <f>StartYear+25</f>
        <v/>
      </c>
      <c r="G30" s="5" t="n">
        <v>0</v>
      </c>
      <c r="I30">
        <f>StartYear+25</f>
        <v/>
      </c>
      <c r="J30" s="5" t="n">
        <v>0</v>
      </c>
      <c r="L30">
        <f>StartYear+25</f>
        <v/>
      </c>
      <c r="M30" s="5" t="n">
        <v>0</v>
      </c>
    </row>
    <row r="31">
      <c r="A31" t="inlineStr">
        <is>
          <t>Cap Gains % of After-Tax:</t>
        </is>
      </c>
      <c r="B31" s="4" t="n">
        <v>0.75</v>
      </c>
      <c r="F31">
        <f>StartYear+26</f>
        <v/>
      </c>
      <c r="G31" s="5" t="n">
        <v>0</v>
      </c>
      <c r="I31">
        <f>StartYear+26</f>
        <v/>
      </c>
      <c r="J31" s="5" t="n">
        <v>0</v>
      </c>
      <c r="L31">
        <f>StartYear+26</f>
        <v/>
      </c>
      <c r="M31" s="5" t="n">
        <v>0</v>
      </c>
    </row>
    <row r="32">
      <c r="A32" t="inlineStr">
        <is>
          <t>NIIT Threshold (2024 base):</t>
        </is>
      </c>
      <c r="B32" s="8" t="n">
        <v>250000</v>
      </c>
      <c r="F32">
        <f>StartYear+27</f>
        <v/>
      </c>
      <c r="G32" s="5" t="n">
        <v>0</v>
      </c>
      <c r="I32">
        <f>StartYear+27</f>
        <v/>
      </c>
      <c r="J32" s="5" t="n">
        <v>0</v>
      </c>
      <c r="L32">
        <f>StartYear+27</f>
        <v/>
      </c>
      <c r="M32" s="5" t="n">
        <v>0</v>
      </c>
    </row>
    <row r="33">
      <c r="F33">
        <f>StartYear+28</f>
        <v/>
      </c>
      <c r="G33" s="5" t="n">
        <v>0</v>
      </c>
      <c r="I33">
        <f>StartYear+28</f>
        <v/>
      </c>
      <c r="J33" s="5" t="n">
        <v>0</v>
      </c>
      <c r="L33">
        <f>StartYear+28</f>
        <v/>
      </c>
      <c r="M33" s="5" t="n">
        <v>0</v>
      </c>
    </row>
    <row r="34">
      <c r="A34" s="2" t="inlineStr">
        <is>
          <t>IRMAA - PRIOR YEAR MAGI</t>
        </is>
      </c>
      <c r="F34">
        <f>StartYear+29</f>
        <v/>
      </c>
      <c r="G34" s="5" t="n">
        <v>0</v>
      </c>
      <c r="I34">
        <f>StartYear+29</f>
        <v/>
      </c>
      <c r="J34" s="5" t="n">
        <v>0</v>
      </c>
      <c r="L34">
        <f>StartYear+29</f>
        <v/>
      </c>
      <c r="M34" s="5" t="n">
        <v>0</v>
      </c>
    </row>
    <row r="35">
      <c r="A35" t="inlineStr">
        <is>
          <t>2024 MAGI (for 2026 IRMAA):</t>
        </is>
      </c>
      <c r="B35" s="5" t="n">
        <v>600000</v>
      </c>
    </row>
    <row r="36">
      <c r="A36" t="inlineStr">
        <is>
          <t>2025 MAGI (for 2027 IRMAA):</t>
        </is>
      </c>
      <c r="B36" s="5" t="n">
        <v>600000</v>
      </c>
    </row>
    <row r="38">
      <c r="A38" s="2" t="inlineStr">
        <is>
          <t>SURVIVOR SCENARIO</t>
        </is>
      </c>
    </row>
    <row r="39">
      <c r="A39" t="inlineStr">
        <is>
          <t>Ira's Death Age (blank=none):</t>
        </is>
      </c>
      <c r="B39" s="5" t="inlineStr"/>
      <c r="C39" s="9" t="inlineStr">
        <is>
          <t>(e.g., 85)</t>
        </is>
      </c>
    </row>
    <row r="40">
      <c r="A40" t="inlineStr">
        <is>
          <t>Survivor SS (Monthly, 2026):</t>
        </is>
      </c>
      <c r="B40" s="5" t="n">
        <v>3860</v>
      </c>
      <c r="C40" s="9" t="inlineStr">
        <is>
          <t>(escalates to death year)</t>
        </is>
      </c>
    </row>
    <row r="42">
      <c r="A42" s="2" t="inlineStr">
        <is>
          <t>SINGLE FILER PARAMETERS</t>
        </is>
      </c>
    </row>
    <row r="43">
      <c r="A43" t="inlineStr">
        <is>
          <t>Std Deduction (Single, 2024):</t>
        </is>
      </c>
      <c r="B43" s="8" t="n">
        <v>14600</v>
      </c>
    </row>
    <row r="44">
      <c r="A44" t="inlineStr">
        <is>
          <t>Senior Bonus (Single 65+):</t>
        </is>
      </c>
      <c r="B44" s="8" t="n">
        <v>1950</v>
      </c>
    </row>
    <row r="45">
      <c r="A45" t="inlineStr">
        <is>
          <t>Total Single Std Ded (base):</t>
        </is>
      </c>
      <c r="B45" s="8">
        <f>B43+B44</f>
        <v/>
      </c>
    </row>
    <row r="46">
      <c r="A46" t="inlineStr">
        <is>
          <t>NIIT Threshold (Single):</t>
        </is>
      </c>
      <c r="B46" s="8" t="n">
        <v>200000</v>
      </c>
    </row>
    <row r="48">
      <c r="A48" s="2" t="inlineStr">
        <is>
          <t>RMD TABLE</t>
        </is>
      </c>
      <c r="D48" s="2" t="inlineStr">
        <is>
          <t>IRMAA TABLE (2024 MFJ)</t>
        </is>
      </c>
      <c r="G48" s="2" t="inlineStr">
        <is>
          <t>IRMAA TABLE (2024 Single)</t>
        </is>
      </c>
    </row>
    <row r="49">
      <c r="A49" s="10" t="inlineStr">
        <is>
          <t>Age</t>
        </is>
      </c>
      <c r="B49" s="10" t="inlineStr">
        <is>
          <t>Dist Period</t>
        </is>
      </c>
      <c r="D49" s="10" t="inlineStr">
        <is>
          <t>MAGI Up To</t>
        </is>
      </c>
      <c r="E49" s="10" t="inlineStr">
        <is>
          <t>Annual Cost</t>
        </is>
      </c>
      <c r="G49" s="10" t="inlineStr">
        <is>
          <t>MAGI Up To</t>
        </is>
      </c>
      <c r="H49" s="10" t="inlineStr">
        <is>
          <t>Annual Cost</t>
        </is>
      </c>
    </row>
    <row r="50">
      <c r="A50" t="n">
        <v>72</v>
      </c>
      <c r="B50" t="n">
        <v>27.4</v>
      </c>
      <c r="D50" s="8" t="n">
        <v>206000</v>
      </c>
      <c r="E50" s="8" t="n">
        <v>0</v>
      </c>
      <c r="G50" s="8" t="n">
        <v>103000</v>
      </c>
      <c r="H50" s="8" t="n">
        <v>0</v>
      </c>
    </row>
    <row r="51">
      <c r="A51" t="n">
        <v>73</v>
      </c>
      <c r="B51" t="n">
        <v>26.5</v>
      </c>
      <c r="D51" s="8" t="n">
        <v>258000</v>
      </c>
      <c r="E51" s="8" t="n">
        <v>1987</v>
      </c>
      <c r="G51" s="8" t="n">
        <v>129000</v>
      </c>
      <c r="H51" s="8" t="n">
        <v>994</v>
      </c>
    </row>
    <row r="52">
      <c r="A52" t="n">
        <v>74</v>
      </c>
      <c r="B52" t="n">
        <v>25.5</v>
      </c>
      <c r="D52" s="8" t="n">
        <v>322000</v>
      </c>
      <c r="E52" s="8" t="n">
        <v>4992</v>
      </c>
      <c r="G52" s="8" t="n">
        <v>161000</v>
      </c>
      <c r="H52" s="8" t="n">
        <v>2496</v>
      </c>
    </row>
    <row r="53">
      <c r="A53" t="n">
        <v>75</v>
      </c>
      <c r="B53" t="n">
        <v>24.6</v>
      </c>
      <c r="D53" s="8" t="n">
        <v>386000</v>
      </c>
      <c r="E53" s="8" t="n">
        <v>7999</v>
      </c>
      <c r="G53" s="8" t="n">
        <v>193000</v>
      </c>
      <c r="H53" s="8" t="n">
        <v>4000</v>
      </c>
    </row>
    <row r="54">
      <c r="A54" t="n">
        <v>76</v>
      </c>
      <c r="B54" t="n">
        <v>23.7</v>
      </c>
      <c r="D54" s="8" t="n">
        <v>750000</v>
      </c>
      <c r="E54" s="8" t="n">
        <v>11004</v>
      </c>
      <c r="G54" s="8" t="n">
        <v>500000</v>
      </c>
      <c r="H54" s="8" t="n">
        <v>5502</v>
      </c>
    </row>
    <row r="55">
      <c r="A55" t="n">
        <v>77</v>
      </c>
      <c r="B55" t="n">
        <v>22.9</v>
      </c>
      <c r="D55" s="8" t="n">
        <v>99999999</v>
      </c>
      <c r="E55" s="8" t="n">
        <v>12007</v>
      </c>
      <c r="G55" s="8" t="n">
        <v>99999999</v>
      </c>
      <c r="H55" s="8" t="n">
        <v>6004</v>
      </c>
    </row>
    <row r="56">
      <c r="A56" t="n">
        <v>78</v>
      </c>
      <c r="B56" t="n">
        <v>22</v>
      </c>
    </row>
    <row r="57">
      <c r="A57" t="n">
        <v>79</v>
      </c>
      <c r="B57" t="n">
        <v>21.1</v>
      </c>
    </row>
    <row r="58">
      <c r="A58" t="n">
        <v>80</v>
      </c>
      <c r="B58" t="n">
        <v>20.2</v>
      </c>
    </row>
    <row r="59">
      <c r="A59" t="n">
        <v>81</v>
      </c>
      <c r="B59" t="n">
        <v>19.4</v>
      </c>
    </row>
    <row r="60">
      <c r="A60" t="n">
        <v>82</v>
      </c>
      <c r="B60" t="n">
        <v>18.5</v>
      </c>
    </row>
    <row r="61">
      <c r="A61" t="n">
        <v>83</v>
      </c>
      <c r="B61" t="n">
        <v>17.7</v>
      </c>
    </row>
    <row r="62">
      <c r="A62" t="n">
        <v>84</v>
      </c>
      <c r="B62" t="n">
        <v>16.8</v>
      </c>
    </row>
    <row r="63">
      <c r="A63" t="n">
        <v>85</v>
      </c>
      <c r="B63" t="n">
        <v>16</v>
      </c>
    </row>
    <row r="64">
      <c r="A64" t="n">
        <v>86</v>
      </c>
      <c r="B64" t="n">
        <v>15.2</v>
      </c>
    </row>
    <row r="65">
      <c r="A65" t="n">
        <v>87</v>
      </c>
      <c r="B65" t="n">
        <v>14.4</v>
      </c>
    </row>
    <row r="66">
      <c r="A66" t="n">
        <v>88</v>
      </c>
      <c r="B66" t="n">
        <v>13.7</v>
      </c>
    </row>
    <row r="67">
      <c r="A67" t="n">
        <v>89</v>
      </c>
      <c r="B67" t="n">
        <v>12.9</v>
      </c>
    </row>
    <row r="68">
      <c r="A68" t="n">
        <v>90</v>
      </c>
      <c r="B68" t="n">
        <v>12.2</v>
      </c>
    </row>
    <row r="69">
      <c r="A69" t="n">
        <v>91</v>
      </c>
      <c r="B69" t="n">
        <v>11.5</v>
      </c>
    </row>
    <row r="70">
      <c r="A70" t="n">
        <v>92</v>
      </c>
      <c r="B70" t="n">
        <v>10.8</v>
      </c>
    </row>
    <row r="71">
      <c r="A71" t="n">
        <v>93</v>
      </c>
      <c r="B71" t="n">
        <v>10.1</v>
      </c>
    </row>
    <row r="72">
      <c r="A72" t="n">
        <v>94</v>
      </c>
      <c r="B72" t="n">
        <v>9.5</v>
      </c>
    </row>
    <row r="73">
      <c r="A73" t="n">
        <v>95</v>
      </c>
      <c r="B73" t="n">
        <v>8.9</v>
      </c>
    </row>
    <row r="74">
      <c r="A74" t="n">
        <v>96</v>
      </c>
      <c r="B74" t="n">
        <v>8.4</v>
      </c>
    </row>
    <row r="75">
      <c r="A75" t="n">
        <v>97</v>
      </c>
      <c r="B75" t="n">
        <v>7.8</v>
      </c>
    </row>
    <row r="76">
      <c r="A76" t="n">
        <v>98</v>
      </c>
      <c r="B76" t="n">
        <v>7.3</v>
      </c>
    </row>
    <row r="77">
      <c r="A77" t="n">
        <v>99</v>
      </c>
      <c r="B77" t="n">
        <v>6.8</v>
      </c>
    </row>
    <row r="78">
      <c r="A78" t="n">
        <v>100</v>
      </c>
      <c r="B78" t="n">
        <v>6.4</v>
      </c>
    </row>
    <row r="79">
      <c r="A79" t="n">
        <v>101</v>
      </c>
      <c r="B79" t="n">
        <v>6</v>
      </c>
    </row>
    <row r="80">
      <c r="A80" t="n">
        <v>102</v>
      </c>
      <c r="B80" t="n">
        <v>5.6</v>
      </c>
    </row>
    <row r="81">
      <c r="A81" t="n">
        <v>103</v>
      </c>
      <c r="B81" t="n">
        <v>5.2</v>
      </c>
    </row>
    <row r="82">
      <c r="A82" t="n">
        <v>104</v>
      </c>
      <c r="B82" t="n">
        <v>4.9</v>
      </c>
    </row>
    <row r="83">
      <c r="A83" t="n">
        <v>105</v>
      </c>
      <c r="B83" t="n">
        <v>4.6</v>
      </c>
    </row>
    <row r="84">
      <c r="A84" t="n">
        <v>106</v>
      </c>
      <c r="B84" t="n">
        <v>4.3</v>
      </c>
    </row>
    <row r="85">
      <c r="A85" t="n">
        <v>107</v>
      </c>
      <c r="B85" t="n">
        <v>4.1</v>
      </c>
    </row>
    <row r="86">
      <c r="A86" t="n">
        <v>108</v>
      </c>
      <c r="B86" t="n">
        <v>3.9</v>
      </c>
    </row>
    <row r="87">
      <c r="A87" t="n">
        <v>109</v>
      </c>
      <c r="B87" t="n">
        <v>3.7</v>
      </c>
    </row>
    <row r="88">
      <c r="A88" t="n">
        <v>110</v>
      </c>
      <c r="B88" t="n">
        <v>3.5</v>
      </c>
    </row>
    <row r="89">
      <c r="A89" t="n">
        <v>111</v>
      </c>
      <c r="B89" t="n">
        <v>3.4</v>
      </c>
    </row>
    <row r="90">
      <c r="A90" t="n">
        <v>112</v>
      </c>
      <c r="B90" t="n">
        <v>3.3</v>
      </c>
    </row>
    <row r="91">
      <c r="A91" t="n">
        <v>113</v>
      </c>
      <c r="B91" t="n">
        <v>3.1</v>
      </c>
    </row>
    <row r="92">
      <c r="A92" t="n">
        <v>114</v>
      </c>
      <c r="B92" t="n">
        <v>3</v>
      </c>
    </row>
    <row r="93">
      <c r="A93" t="n">
        <v>115</v>
      </c>
      <c r="B93" t="n">
        <v>2.9</v>
      </c>
    </row>
    <row r="97">
      <c r="A97" s="10" t="inlineStr">
        <is>
          <t>INSTRUCTIONS:</t>
        </is>
      </c>
    </row>
    <row r="98">
      <c r="A98" t="inlineStr">
        <is>
          <t>• Yellow cells are inputs. Enter Roth Conversions, Other Income, and Discretionary W/D in the tables above.</t>
        </is>
      </c>
    </row>
    <row r="99">
      <c r="A99" t="inlineStr">
        <is>
          <t>• IRMAA uses 2-year lookback: enter 2024 &amp; 2025 MAGI for 2026 &amp; 2027. Later years auto-calculate.</t>
        </is>
      </c>
    </row>
    <row r="100">
      <c r="A100" t="inlineStr">
        <is>
          <t>• Set Ira's Death Age to model surviving spouse scenario (Single filing, reduced SS, different tax brackets).</t>
        </is>
      </c>
    </row>
    <row r="101">
      <c r="A101" t="inlineStr">
        <is>
          <t>• Tax brackets, CG thresholds, and NIIT threshold inflate annually per Tax Bracket Inflation rate.</t>
        </is>
      </c>
    </row>
    <row r="104">
      <c r="A104" s="2" t="inlineStr">
        <is>
          <t>PROJECTIONS TAB - ROW REFERENCE</t>
        </is>
      </c>
    </row>
    <row r="105">
      <c r="A105" s="10" t="inlineStr">
        <is>
          <t>Row</t>
        </is>
      </c>
      <c r="B105" s="10" t="inlineStr">
        <is>
          <t>Field Name</t>
        </is>
      </c>
      <c r="C105" s="10" t="inlineStr">
        <is>
          <t>Description</t>
        </is>
      </c>
    </row>
    <row r="106">
      <c r="A106" t="n">
        <v>1</v>
      </c>
      <c r="B106" t="inlineStr">
        <is>
          <t>Year</t>
        </is>
      </c>
      <c r="C106" t="inlineStr">
        <is>
          <t>Calendar year (2026-2055)</t>
        </is>
      </c>
    </row>
    <row r="107">
      <c r="A107" t="n">
        <v>2</v>
      </c>
      <c r="B107" t="inlineStr">
        <is>
          <t>Ira Age</t>
        </is>
      </c>
      <c r="C107" t="inlineStr">
        <is>
          <t>Ira's age during this year</t>
        </is>
      </c>
    </row>
    <row r="108">
      <c r="A108" t="n">
        <v>3</v>
      </c>
      <c r="B108" t="inlineStr">
        <is>
          <t>Carol Age</t>
        </is>
      </c>
      <c r="C108" t="inlineStr">
        <is>
          <t>Carol's age during this year</t>
        </is>
      </c>
    </row>
    <row r="109">
      <c r="A109" t="n">
        <v>4</v>
      </c>
      <c r="B109" t="inlineStr">
        <is>
          <t>Ira Alive?</t>
        </is>
      </c>
      <c r="C109" t="inlineStr">
        <is>
          <t>TRUE if Ira is alive (for survivor scenario)</t>
        </is>
      </c>
    </row>
    <row r="110">
      <c r="A110" s="10" t="n">
        <v>6</v>
      </c>
      <c r="B110" s="10" t="inlineStr">
        <is>
          <t>— BEGINNING BALANCES —</t>
        </is>
      </c>
      <c r="C110" t="inlineStr">
        <is>
          <t>Account balances at start of year</t>
        </is>
      </c>
    </row>
    <row r="111">
      <c r="A111" t="n">
        <v>7</v>
      </c>
      <c r="B111" t="inlineStr">
        <is>
          <t>After-Tax</t>
        </is>
      </c>
      <c r="C111" t="inlineStr">
        <is>
          <t>Joint taxable brokerage account</t>
        </is>
      </c>
    </row>
    <row r="112">
      <c r="A112" t="n">
        <v>8</v>
      </c>
      <c r="B112" t="inlineStr">
        <is>
          <t>Traditional IRA</t>
        </is>
      </c>
      <c r="C112" t="inlineStr">
        <is>
          <t>Combined Traditional IRA balance</t>
        </is>
      </c>
    </row>
    <row r="113">
      <c r="A113" t="n">
        <v>9</v>
      </c>
      <c r="B113" t="inlineStr">
        <is>
          <t>Roth IRA</t>
        </is>
      </c>
      <c r="C113" t="inlineStr">
        <is>
          <t>Combined Roth IRA balance</t>
        </is>
      </c>
    </row>
    <row r="114">
      <c r="A114" t="n">
        <v>10</v>
      </c>
      <c r="B114" t="inlineStr">
        <is>
          <t>Total</t>
        </is>
      </c>
      <c r="C114" t="inlineStr">
        <is>
          <t>Sum of all accounts (rows 7+8+9)</t>
        </is>
      </c>
    </row>
    <row r="115">
      <c r="A115" s="10" t="n">
        <v>12</v>
      </c>
      <c r="B115" s="10" t="inlineStr">
        <is>
          <t>— INCOME &amp; EXPENSES —</t>
        </is>
      </c>
      <c r="C115" t="inlineStr">
        <is>
          <t>Cash flows during year</t>
        </is>
      </c>
    </row>
    <row r="116">
      <c r="A116" t="n">
        <v>13</v>
      </c>
      <c r="B116" t="inlineStr">
        <is>
          <t>Social Security</t>
        </is>
      </c>
      <c r="C116" t="inlineStr">
        <is>
          <t>Combined SS benefits (or survivor benefit)</t>
        </is>
      </c>
    </row>
    <row r="117">
      <c r="A117" t="n">
        <v>14</v>
      </c>
      <c r="B117" t="inlineStr">
        <is>
          <t>Other Income</t>
        </is>
      </c>
      <c r="C117" t="inlineStr">
        <is>
          <t>From OtherIncomeTable lookup</t>
        </is>
      </c>
    </row>
    <row r="118">
      <c r="A118" t="n">
        <v>15</v>
      </c>
      <c r="B118" t="inlineStr">
        <is>
          <t>Base Expenses</t>
        </is>
      </c>
      <c r="C118" t="inlineStr">
        <is>
          <t>Annual living expenses (inflated)</t>
        </is>
      </c>
    </row>
    <row r="119">
      <c r="A119" t="n">
        <v>16</v>
      </c>
      <c r="B119" t="inlineStr">
        <is>
          <t>RMD Required</t>
        </is>
      </c>
      <c r="C119" t="inlineStr">
        <is>
          <t>Required Minimum Distribution from IRA</t>
        </is>
      </c>
    </row>
    <row r="120">
      <c r="A120" t="n">
        <v>17</v>
      </c>
      <c r="B120" t="inlineStr">
        <is>
          <t>Roth Conversion</t>
        </is>
      </c>
      <c r="C120" t="inlineStr">
        <is>
          <t>From RothConvTable lookup</t>
        </is>
      </c>
    </row>
    <row r="121">
      <c r="A121" s="10" t="n">
        <v>19</v>
      </c>
      <c r="B121" s="10" t="inlineStr">
        <is>
          <t>— INVESTMENT RETURNS —</t>
        </is>
      </c>
      <c r="C121" t="inlineStr">
        <is>
          <t>Growth on each account</t>
        </is>
      </c>
    </row>
    <row r="122">
      <c r="A122" t="n">
        <v>20</v>
      </c>
      <c r="B122" t="inlineStr">
        <is>
          <t>Return After-Tax</t>
        </is>
      </c>
      <c r="C122" t="inlineStr">
        <is>
          <t>After-Tax × ReturnAfterTax</t>
        </is>
      </c>
    </row>
    <row r="123">
      <c r="A123" t="n">
        <v>21</v>
      </c>
      <c r="B123" t="inlineStr">
        <is>
          <t>Return IRA</t>
        </is>
      </c>
      <c r="C123" t="inlineStr">
        <is>
          <t>IRA × ReturnIRA</t>
        </is>
      </c>
    </row>
    <row r="124">
      <c r="A124" t="n">
        <v>22</v>
      </c>
      <c r="B124" t="inlineStr">
        <is>
          <t>Return Roth</t>
        </is>
      </c>
      <c r="C124" t="inlineStr">
        <is>
          <t>Roth × ReturnRoth</t>
        </is>
      </c>
    </row>
    <row r="125">
      <c r="A125" s="10" t="n">
        <v>24</v>
      </c>
      <c r="B125" s="10" t="inlineStr">
        <is>
          <t>— IRMAA &amp; TAXES —</t>
        </is>
      </c>
      <c r="C125" t="inlineStr">
        <is>
          <t>Medicare surcharges and tax estimates</t>
        </is>
      </c>
    </row>
    <row r="126">
      <c r="A126" t="n">
        <v>25</v>
      </c>
      <c r="B126" t="inlineStr">
        <is>
          <t>Prior Yr MAGI</t>
        </is>
      </c>
      <c r="C126" t="inlineStr">
        <is>
          <t>MAGI from 2 years prior (for IRMAA)</t>
        </is>
      </c>
    </row>
    <row r="127">
      <c r="A127" t="n">
        <v>26</v>
      </c>
      <c r="B127" t="inlineStr">
        <is>
          <t>IRMAA</t>
        </is>
      </c>
      <c r="C127" t="inlineStr">
        <is>
          <t>Medicare premium surcharge</t>
        </is>
      </c>
    </row>
    <row r="128">
      <c r="A128" t="n">
        <v>27</v>
      </c>
      <c r="B128" t="inlineStr">
        <is>
          <t>Est Tax</t>
        </is>
      </c>
      <c r="C128" t="inlineStr">
        <is>
          <t>Estimated total tax for the year</t>
        </is>
      </c>
    </row>
    <row r="129">
      <c r="A129" t="n">
        <v>28</v>
      </c>
      <c r="B129" t="inlineStr">
        <is>
          <t>Total Cash Need</t>
        </is>
      </c>
      <c r="C129" t="inlineStr">
        <is>
          <t>Expenses + IRMAA + Tax - SS - Other Income</t>
        </is>
      </c>
    </row>
    <row r="130">
      <c r="A130" s="10" t="n">
        <v>30</v>
      </c>
      <c r="B130" s="10" t="inlineStr">
        <is>
          <t>— WITHDRAWALS —</t>
        </is>
      </c>
      <c r="C130" t="inlineStr">
        <is>
          <t>Money taken from accounts</t>
        </is>
      </c>
    </row>
    <row r="131">
      <c r="A131" t="n">
        <v>31</v>
      </c>
      <c r="B131" t="inlineStr">
        <is>
          <t>Discretionary W/D</t>
        </is>
      </c>
      <c r="C131" t="inlineStr">
        <is>
          <t>From DiscretionaryTable lookup</t>
        </is>
      </c>
    </row>
    <row r="132">
      <c r="A132" t="n">
        <v>32</v>
      </c>
      <c r="B132" t="inlineStr">
        <is>
          <t>W/D After-Tax</t>
        </is>
      </c>
      <c r="C132" t="inlineStr">
        <is>
          <t>Withdrawal from taxable account</t>
        </is>
      </c>
    </row>
    <row r="133">
      <c r="A133" t="n">
        <v>33</v>
      </c>
      <c r="B133" t="inlineStr">
        <is>
          <t>W/D IRA (above RMD)</t>
        </is>
      </c>
      <c r="C133" t="inlineStr">
        <is>
          <t>Additional IRA withdrawal beyond RMD</t>
        </is>
      </c>
    </row>
    <row r="134">
      <c r="A134" t="n">
        <v>34</v>
      </c>
      <c r="B134" t="inlineStr">
        <is>
          <t>W/D Roth</t>
        </is>
      </c>
      <c r="C134" t="inlineStr">
        <is>
          <t>Withdrawal from Roth (last resort)</t>
        </is>
      </c>
    </row>
    <row r="135">
      <c r="A135" t="n">
        <v>35</v>
      </c>
      <c r="B135" t="inlineStr">
        <is>
          <t>Total Withdrawals</t>
        </is>
      </c>
      <c r="C135" t="inlineStr">
        <is>
          <t>Sum of all withdrawals (rows 32+33+34)</t>
        </is>
      </c>
    </row>
    <row r="136">
      <c r="A136" s="10" t="n">
        <v>37</v>
      </c>
      <c r="B136" s="10" t="inlineStr">
        <is>
          <t>— TAX DETAIL —</t>
        </is>
      </c>
      <c r="C136" t="inlineStr">
        <is>
          <t>Breakdown of tax calculation</t>
        </is>
      </c>
    </row>
    <row r="137">
      <c r="A137" t="n">
        <v>38</v>
      </c>
      <c r="B137" t="inlineStr">
        <is>
          <t>Taxable Soc Sec</t>
        </is>
      </c>
      <c r="C137" t="inlineStr">
        <is>
          <t>85% of SS (at high income levels)</t>
        </is>
      </c>
    </row>
    <row r="138">
      <c r="A138" t="n">
        <v>39</v>
      </c>
      <c r="B138" t="inlineStr">
        <is>
          <t>Ordinary Income</t>
        </is>
      </c>
      <c r="C138" t="inlineStr">
        <is>
          <t>Taxable income after std deduction</t>
        </is>
      </c>
    </row>
    <row r="139">
      <c r="A139" t="n">
        <v>40</v>
      </c>
      <c r="B139" t="inlineStr">
        <is>
          <t>Capital Gains</t>
        </is>
      </c>
      <c r="C139" t="inlineStr">
        <is>
          <t>Realized gains from After-Tax withdrawals</t>
        </is>
      </c>
    </row>
    <row r="140">
      <c r="A140" t="n">
        <v>41</v>
      </c>
      <c r="B140" t="inlineStr">
        <is>
          <t>Cap Gains @ 0%</t>
        </is>
      </c>
      <c r="C140" t="inlineStr">
        <is>
          <t>Portion of CG in 0% bracket</t>
        </is>
      </c>
    </row>
    <row r="141">
      <c r="A141" t="n">
        <v>42</v>
      </c>
      <c r="B141" t="inlineStr">
        <is>
          <t>Cap Gains @ 15%+</t>
        </is>
      </c>
      <c r="C141" t="inlineStr">
        <is>
          <t>Portion of CG in 15%/20% brackets</t>
        </is>
      </c>
    </row>
    <row r="142">
      <c r="A142" t="n">
        <v>43</v>
      </c>
      <c r="B142" t="inlineStr">
        <is>
          <t>Fed Ordinary Tax</t>
        </is>
      </c>
      <c r="C142" t="inlineStr">
        <is>
          <t>Federal tax on ordinary income</t>
        </is>
      </c>
    </row>
    <row r="143">
      <c r="A143" t="n">
        <v>44</v>
      </c>
      <c r="B143" t="inlineStr">
        <is>
          <t>Fed Cap Gains Tax</t>
        </is>
      </c>
      <c r="C143" t="inlineStr">
        <is>
          <t>Federal tax on capital gains</t>
        </is>
      </c>
    </row>
    <row r="144">
      <c r="A144" t="n">
        <v>45</v>
      </c>
      <c r="B144" t="inlineStr">
        <is>
          <t>NIIT (3.8%)</t>
        </is>
      </c>
      <c r="C144" t="inlineStr">
        <is>
          <t>Net Investment Income Tax</t>
        </is>
      </c>
    </row>
    <row r="145">
      <c r="A145" t="n">
        <v>46</v>
      </c>
      <c r="B145" t="inlineStr">
        <is>
          <t>Illinois Tax</t>
        </is>
      </c>
      <c r="C145" t="inlineStr">
        <is>
          <t>IL state income tax (4.95%)</t>
        </is>
      </c>
    </row>
    <row r="146">
      <c r="A146" t="n">
        <v>47</v>
      </c>
      <c r="B146" t="inlineStr">
        <is>
          <t>Total Tax</t>
        </is>
      </c>
      <c r="C146" t="inlineStr">
        <is>
          <t>Sum of all taxes (rows 43-46)</t>
        </is>
      </c>
    </row>
    <row r="147">
      <c r="A147" s="10" t="n">
        <v>49</v>
      </c>
      <c r="B147" s="10" t="inlineStr">
        <is>
          <t>— ENDING BALANCES —</t>
        </is>
      </c>
      <c r="C147" t="inlineStr">
        <is>
          <t>Account balances at end of year</t>
        </is>
      </c>
    </row>
    <row r="148">
      <c r="A148" t="n">
        <v>50</v>
      </c>
      <c r="B148" t="inlineStr">
        <is>
          <t>After-Tax</t>
        </is>
      </c>
      <c r="C148" t="inlineStr">
        <is>
          <t>End of year taxable account</t>
        </is>
      </c>
    </row>
    <row r="149">
      <c r="A149" t="n">
        <v>51</v>
      </c>
      <c r="B149" t="inlineStr">
        <is>
          <t>Traditional IRA</t>
        </is>
      </c>
      <c r="C149" t="inlineStr">
        <is>
          <t>End of year Traditional IRA</t>
        </is>
      </c>
    </row>
    <row r="150">
      <c r="A150" t="n">
        <v>52</v>
      </c>
      <c r="B150" t="inlineStr">
        <is>
          <t>Roth IRA</t>
        </is>
      </c>
      <c r="C150" t="inlineStr">
        <is>
          <t>End of year Roth IRA</t>
        </is>
      </c>
    </row>
    <row r="151">
      <c r="A151" t="n">
        <v>53</v>
      </c>
      <c r="B151" t="inlineStr">
        <is>
          <t>Total</t>
        </is>
      </c>
      <c r="C151" t="inlineStr">
        <is>
          <t>Sum of all accounts (rows 50+51+52)</t>
        </is>
      </c>
    </row>
    <row r="152">
      <c r="A152" t="n">
        <v>54</v>
      </c>
      <c r="B152" t="inlineStr">
        <is>
          <t>Heir-Adjusted Value</t>
        </is>
      </c>
      <c r="C152" t="inlineStr">
        <is>
          <t>After-Tax + IRA×(1-HeirTaxRate) + Roth</t>
        </is>
      </c>
    </row>
    <row r="153">
      <c r="A153" s="10" t="n">
        <v>56</v>
      </c>
      <c r="B153" s="10" t="inlineStr">
        <is>
          <t>— PRESENT VALUES —</t>
        </is>
      </c>
      <c r="C153" t="inlineStr">
        <is>
          <t>All values discounted to 2026$</t>
        </is>
      </c>
    </row>
    <row r="154">
      <c r="A154" t="n">
        <v>57</v>
      </c>
      <c r="B154" t="inlineStr">
        <is>
          <t>PV After-Tax</t>
        </is>
      </c>
      <c r="C154" t="inlineStr">
        <is>
          <t>Row 50 ÷ (1+DiscountRate)^year</t>
        </is>
      </c>
    </row>
    <row r="155">
      <c r="A155" t="n">
        <v>58</v>
      </c>
      <c r="B155" t="inlineStr">
        <is>
          <t>PV Traditional IRA</t>
        </is>
      </c>
      <c r="C155" t="inlineStr">
        <is>
          <t>Row 51 ÷ (1+DiscountRate)^year</t>
        </is>
      </c>
    </row>
    <row r="156">
      <c r="A156" t="n">
        <v>59</v>
      </c>
      <c r="B156" t="inlineStr">
        <is>
          <t>PV Roth IRA</t>
        </is>
      </c>
      <c r="C156" t="inlineStr">
        <is>
          <t>Row 52 ÷ (1+DiscountRate)^year</t>
        </is>
      </c>
    </row>
    <row r="157">
      <c r="A157" t="n">
        <v>60</v>
      </c>
      <c r="B157" t="inlineStr">
        <is>
          <t>PV Total</t>
        </is>
      </c>
      <c r="C157" t="inlineStr">
        <is>
          <t>Row 53 ÷ (1+DiscountRate)^year</t>
        </is>
      </c>
    </row>
    <row r="158">
      <c r="A158" t="n">
        <v>61</v>
      </c>
      <c r="B158" t="inlineStr">
        <is>
          <t>PV Heir-Adjusted</t>
        </is>
      </c>
      <c r="C158" t="inlineStr">
        <is>
          <t>Row 54 ÷ (1+DiscountRate)^year</t>
        </is>
      </c>
    </row>
    <row r="159">
      <c r="A159" t="n">
        <v>62</v>
      </c>
      <c r="B159" t="inlineStr">
        <is>
          <t>PV Expenses</t>
        </is>
      </c>
      <c r="C159" t="inlineStr">
        <is>
          <t>Row 15 ÷ (1+DiscountRate)^year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1" t="inlineStr">
        <is>
          <t>Year</t>
        </is>
      </c>
      <c r="B1">
        <f>StartYear</f>
        <v/>
      </c>
      <c r="C1">
        <f>B1+1</f>
        <v/>
      </c>
      <c r="D1">
        <f>C1+1</f>
        <v/>
      </c>
      <c r="E1">
        <f>D1+1</f>
        <v/>
      </c>
      <c r="F1">
        <f>E1+1</f>
        <v/>
      </c>
      <c r="G1">
        <f>F1+1</f>
        <v/>
      </c>
      <c r="H1">
        <f>G1+1</f>
        <v/>
      </c>
      <c r="I1">
        <f>H1+1</f>
        <v/>
      </c>
      <c r="J1">
        <f>I1+1</f>
        <v/>
      </c>
      <c r="K1">
        <f>J1+1</f>
        <v/>
      </c>
      <c r="L1">
        <f>K1+1</f>
        <v/>
      </c>
      <c r="M1">
        <f>L1+1</f>
        <v/>
      </c>
      <c r="N1">
        <f>M1+1</f>
        <v/>
      </c>
      <c r="O1">
        <f>N1+1</f>
        <v/>
      </c>
      <c r="P1">
        <f>O1+1</f>
        <v/>
      </c>
      <c r="Q1">
        <f>P1+1</f>
        <v/>
      </c>
      <c r="R1">
        <f>Q1+1</f>
        <v/>
      </c>
      <c r="S1">
        <f>R1+1</f>
        <v/>
      </c>
      <c r="T1">
        <f>S1+1</f>
        <v/>
      </c>
      <c r="U1">
        <f>T1+1</f>
        <v/>
      </c>
      <c r="V1">
        <f>U1+1</f>
        <v/>
      </c>
      <c r="W1">
        <f>V1+1</f>
        <v/>
      </c>
      <c r="X1">
        <f>W1+1</f>
        <v/>
      </c>
      <c r="Y1">
        <f>X1+1</f>
        <v/>
      </c>
      <c r="Z1">
        <f>Y1+1</f>
        <v/>
      </c>
      <c r="AA1">
        <f>Z1+1</f>
        <v/>
      </c>
      <c r="AB1">
        <f>AA1+1</f>
        <v/>
      </c>
      <c r="AC1">
        <f>AB1+1</f>
        <v/>
      </c>
      <c r="AD1">
        <f>AC1+1</f>
        <v/>
      </c>
      <c r="AE1">
        <f>AD1+1</f>
        <v/>
      </c>
    </row>
    <row r="2">
      <c r="A2" s="11" t="inlineStr">
        <is>
          <t>Ira Age</t>
        </is>
      </c>
      <c r="B2">
        <f>IraStartAge</f>
        <v/>
      </c>
      <c r="C2">
        <f>B2+1</f>
        <v/>
      </c>
      <c r="D2">
        <f>C2+1</f>
        <v/>
      </c>
      <c r="E2">
        <f>D2+1</f>
        <v/>
      </c>
      <c r="F2">
        <f>E2+1</f>
        <v/>
      </c>
      <c r="G2">
        <f>F2+1</f>
        <v/>
      </c>
      <c r="H2">
        <f>G2+1</f>
        <v/>
      </c>
      <c r="I2">
        <f>H2+1</f>
        <v/>
      </c>
      <c r="J2">
        <f>I2+1</f>
        <v/>
      </c>
      <c r="K2">
        <f>J2+1</f>
        <v/>
      </c>
      <c r="L2">
        <f>K2+1</f>
        <v/>
      </c>
      <c r="M2">
        <f>L2+1</f>
        <v/>
      </c>
      <c r="N2">
        <f>M2+1</f>
        <v/>
      </c>
      <c r="O2">
        <f>N2+1</f>
        <v/>
      </c>
      <c r="P2">
        <f>O2+1</f>
        <v/>
      </c>
      <c r="Q2">
        <f>P2+1</f>
        <v/>
      </c>
      <c r="R2">
        <f>Q2+1</f>
        <v/>
      </c>
      <c r="S2">
        <f>R2+1</f>
        <v/>
      </c>
      <c r="T2">
        <f>S2+1</f>
        <v/>
      </c>
      <c r="U2">
        <f>T2+1</f>
        <v/>
      </c>
      <c r="V2">
        <f>U2+1</f>
        <v/>
      </c>
      <c r="W2">
        <f>V2+1</f>
        <v/>
      </c>
      <c r="X2">
        <f>W2+1</f>
        <v/>
      </c>
      <c r="Y2">
        <f>X2+1</f>
        <v/>
      </c>
      <c r="Z2">
        <f>Y2+1</f>
        <v/>
      </c>
      <c r="AA2">
        <f>Z2+1</f>
        <v/>
      </c>
      <c r="AB2">
        <f>AA2+1</f>
        <v/>
      </c>
      <c r="AC2">
        <f>AB2+1</f>
        <v/>
      </c>
      <c r="AD2">
        <f>AC2+1</f>
        <v/>
      </c>
      <c r="AE2">
        <f>AD2+1</f>
        <v/>
      </c>
    </row>
    <row r="3">
      <c r="A3" s="11" t="inlineStr">
        <is>
          <t>Carol Age</t>
        </is>
      </c>
      <c r="B3">
        <f>CarolStartAge</f>
        <v/>
      </c>
      <c r="C3">
        <f>B3+1</f>
        <v/>
      </c>
      <c r="D3">
        <f>C3+1</f>
        <v/>
      </c>
      <c r="E3">
        <f>D3+1</f>
        <v/>
      </c>
      <c r="F3">
        <f>E3+1</f>
        <v/>
      </c>
      <c r="G3">
        <f>F3+1</f>
        <v/>
      </c>
      <c r="H3">
        <f>G3+1</f>
        <v/>
      </c>
      <c r="I3">
        <f>H3+1</f>
        <v/>
      </c>
      <c r="J3">
        <f>I3+1</f>
        <v/>
      </c>
      <c r="K3">
        <f>J3+1</f>
        <v/>
      </c>
      <c r="L3">
        <f>K3+1</f>
        <v/>
      </c>
      <c r="M3">
        <f>L3+1</f>
        <v/>
      </c>
      <c r="N3">
        <f>M3+1</f>
        <v/>
      </c>
      <c r="O3">
        <f>N3+1</f>
        <v/>
      </c>
      <c r="P3">
        <f>O3+1</f>
        <v/>
      </c>
      <c r="Q3">
        <f>P3+1</f>
        <v/>
      </c>
      <c r="R3">
        <f>Q3+1</f>
        <v/>
      </c>
      <c r="S3">
        <f>R3+1</f>
        <v/>
      </c>
      <c r="T3">
        <f>S3+1</f>
        <v/>
      </c>
      <c r="U3">
        <f>T3+1</f>
        <v/>
      </c>
      <c r="V3">
        <f>U3+1</f>
        <v/>
      </c>
      <c r="W3">
        <f>V3+1</f>
        <v/>
      </c>
      <c r="X3">
        <f>W3+1</f>
        <v/>
      </c>
      <c r="Y3">
        <f>X3+1</f>
        <v/>
      </c>
      <c r="Z3">
        <f>Y3+1</f>
        <v/>
      </c>
      <c r="AA3">
        <f>Z3+1</f>
        <v/>
      </c>
      <c r="AB3">
        <f>AA3+1</f>
        <v/>
      </c>
      <c r="AC3">
        <f>AB3+1</f>
        <v/>
      </c>
      <c r="AD3">
        <f>AC3+1</f>
        <v/>
      </c>
      <c r="AE3">
        <f>AD3+1</f>
        <v/>
      </c>
    </row>
    <row r="4">
      <c r="A4" s="11" t="inlineStr">
        <is>
          <t>Ira Alive?</t>
        </is>
      </c>
      <c r="B4">
        <f>IF(DeathAge="",TRUE,B2&lt;DeathAge)</f>
        <v/>
      </c>
      <c r="C4">
        <f>IF(DeathAge="",TRUE,C2&lt;DeathAge)</f>
        <v/>
      </c>
      <c r="D4">
        <f>IF(DeathAge="",TRUE,D2&lt;DeathAge)</f>
        <v/>
      </c>
      <c r="E4">
        <f>IF(DeathAge="",TRUE,E2&lt;DeathAge)</f>
        <v/>
      </c>
      <c r="F4">
        <f>IF(DeathAge="",TRUE,F2&lt;DeathAge)</f>
        <v/>
      </c>
      <c r="G4">
        <f>IF(DeathAge="",TRUE,G2&lt;DeathAge)</f>
        <v/>
      </c>
      <c r="H4">
        <f>IF(DeathAge="",TRUE,H2&lt;DeathAge)</f>
        <v/>
      </c>
      <c r="I4">
        <f>IF(DeathAge="",TRUE,I2&lt;DeathAge)</f>
        <v/>
      </c>
      <c r="J4">
        <f>IF(DeathAge="",TRUE,J2&lt;DeathAge)</f>
        <v/>
      </c>
      <c r="K4">
        <f>IF(DeathAge="",TRUE,K2&lt;DeathAge)</f>
        <v/>
      </c>
      <c r="L4">
        <f>IF(DeathAge="",TRUE,L2&lt;DeathAge)</f>
        <v/>
      </c>
      <c r="M4">
        <f>IF(DeathAge="",TRUE,M2&lt;DeathAge)</f>
        <v/>
      </c>
      <c r="N4">
        <f>IF(DeathAge="",TRUE,N2&lt;DeathAge)</f>
        <v/>
      </c>
      <c r="O4">
        <f>IF(DeathAge="",TRUE,O2&lt;DeathAge)</f>
        <v/>
      </c>
      <c r="P4">
        <f>IF(DeathAge="",TRUE,P2&lt;DeathAge)</f>
        <v/>
      </c>
      <c r="Q4">
        <f>IF(DeathAge="",TRUE,Q2&lt;DeathAge)</f>
        <v/>
      </c>
      <c r="R4">
        <f>IF(DeathAge="",TRUE,R2&lt;DeathAge)</f>
        <v/>
      </c>
      <c r="S4">
        <f>IF(DeathAge="",TRUE,S2&lt;DeathAge)</f>
        <v/>
      </c>
      <c r="T4">
        <f>IF(DeathAge="",TRUE,T2&lt;DeathAge)</f>
        <v/>
      </c>
      <c r="U4">
        <f>IF(DeathAge="",TRUE,U2&lt;DeathAge)</f>
        <v/>
      </c>
      <c r="V4">
        <f>IF(DeathAge="",TRUE,V2&lt;DeathAge)</f>
        <v/>
      </c>
      <c r="W4">
        <f>IF(DeathAge="",TRUE,W2&lt;DeathAge)</f>
        <v/>
      </c>
      <c r="X4">
        <f>IF(DeathAge="",TRUE,X2&lt;DeathAge)</f>
        <v/>
      </c>
      <c r="Y4">
        <f>IF(DeathAge="",TRUE,Y2&lt;DeathAge)</f>
        <v/>
      </c>
      <c r="Z4">
        <f>IF(DeathAge="",TRUE,Z2&lt;DeathAge)</f>
        <v/>
      </c>
      <c r="AA4">
        <f>IF(DeathAge="",TRUE,AA2&lt;DeathAge)</f>
        <v/>
      </c>
      <c r="AB4">
        <f>IF(DeathAge="",TRUE,AB2&lt;DeathAge)</f>
        <v/>
      </c>
      <c r="AC4">
        <f>IF(DeathAge="",TRUE,AC2&lt;DeathAge)</f>
        <v/>
      </c>
      <c r="AD4">
        <f>IF(DeathAge="",TRUE,AD2&lt;DeathAge)</f>
        <v/>
      </c>
      <c r="AE4">
        <f>IF(DeathAge="",TRUE,AE2&lt;DeathAge)</f>
        <v/>
      </c>
    </row>
    <row r="5">
      <c r="A5" t="inlineStr"/>
    </row>
    <row r="6">
      <c r="A6" s="12" t="inlineStr">
        <is>
          <t>BEGINNING BALANCES</t>
        </is>
      </c>
    </row>
    <row r="7">
      <c r="A7" s="11" t="inlineStr">
        <is>
          <t>After-Tax</t>
        </is>
      </c>
      <c r="B7" s="8">
        <f>StartAfterTax</f>
        <v/>
      </c>
      <c r="C7" s="8">
        <f>B50</f>
        <v/>
      </c>
      <c r="D7" s="8">
        <f>C50</f>
        <v/>
      </c>
      <c r="E7" s="8">
        <f>D50</f>
        <v/>
      </c>
      <c r="F7" s="8">
        <f>E50</f>
        <v/>
      </c>
      <c r="G7" s="8">
        <f>F50</f>
        <v/>
      </c>
      <c r="H7" s="8">
        <f>G50</f>
        <v/>
      </c>
      <c r="I7" s="8">
        <f>H50</f>
        <v/>
      </c>
      <c r="J7" s="8">
        <f>I50</f>
        <v/>
      </c>
      <c r="K7" s="8">
        <f>J50</f>
        <v/>
      </c>
      <c r="L7" s="8">
        <f>K50</f>
        <v/>
      </c>
      <c r="M7" s="8">
        <f>L50</f>
        <v/>
      </c>
      <c r="N7" s="8">
        <f>M50</f>
        <v/>
      </c>
      <c r="O7" s="8">
        <f>N50</f>
        <v/>
      </c>
      <c r="P7" s="8">
        <f>O50</f>
        <v/>
      </c>
      <c r="Q7" s="8">
        <f>P50</f>
        <v/>
      </c>
      <c r="R7" s="8">
        <f>Q50</f>
        <v/>
      </c>
      <c r="S7" s="8">
        <f>R50</f>
        <v/>
      </c>
      <c r="T7" s="8">
        <f>S50</f>
        <v/>
      </c>
      <c r="U7" s="8">
        <f>T50</f>
        <v/>
      </c>
      <c r="V7" s="8">
        <f>U50</f>
        <v/>
      </c>
      <c r="W7" s="8">
        <f>V50</f>
        <v/>
      </c>
      <c r="X7" s="8">
        <f>W50</f>
        <v/>
      </c>
      <c r="Y7" s="8">
        <f>X50</f>
        <v/>
      </c>
      <c r="Z7" s="8">
        <f>Y50</f>
        <v/>
      </c>
      <c r="AA7" s="8">
        <f>Z50</f>
        <v/>
      </c>
      <c r="AB7" s="8">
        <f>AA50</f>
        <v/>
      </c>
      <c r="AC7" s="8">
        <f>AB50</f>
        <v/>
      </c>
      <c r="AD7" s="8">
        <f>AC50</f>
        <v/>
      </c>
      <c r="AE7" s="8">
        <f>AD50</f>
        <v/>
      </c>
    </row>
    <row r="8">
      <c r="A8" s="11" t="inlineStr">
        <is>
          <t>Traditional IRA</t>
        </is>
      </c>
      <c r="B8" s="8">
        <f>StartIRA</f>
        <v/>
      </c>
      <c r="C8" s="8">
        <f>B51</f>
        <v/>
      </c>
      <c r="D8" s="8">
        <f>C51</f>
        <v/>
      </c>
      <c r="E8" s="8">
        <f>D51</f>
        <v/>
      </c>
      <c r="F8" s="8">
        <f>E51</f>
        <v/>
      </c>
      <c r="G8" s="8">
        <f>F51</f>
        <v/>
      </c>
      <c r="H8" s="8">
        <f>G51</f>
        <v/>
      </c>
      <c r="I8" s="8">
        <f>H51</f>
        <v/>
      </c>
      <c r="J8" s="8">
        <f>I51</f>
        <v/>
      </c>
      <c r="K8" s="8">
        <f>J51</f>
        <v/>
      </c>
      <c r="L8" s="8">
        <f>K51</f>
        <v/>
      </c>
      <c r="M8" s="8">
        <f>L51</f>
        <v/>
      </c>
      <c r="N8" s="8">
        <f>M51</f>
        <v/>
      </c>
      <c r="O8" s="8">
        <f>N51</f>
        <v/>
      </c>
      <c r="P8" s="8">
        <f>O51</f>
        <v/>
      </c>
      <c r="Q8" s="8">
        <f>P51</f>
        <v/>
      </c>
      <c r="R8" s="8">
        <f>Q51</f>
        <v/>
      </c>
      <c r="S8" s="8">
        <f>R51</f>
        <v/>
      </c>
      <c r="T8" s="8">
        <f>S51</f>
        <v/>
      </c>
      <c r="U8" s="8">
        <f>T51</f>
        <v/>
      </c>
      <c r="V8" s="8">
        <f>U51</f>
        <v/>
      </c>
      <c r="W8" s="8">
        <f>V51</f>
        <v/>
      </c>
      <c r="X8" s="8">
        <f>W51</f>
        <v/>
      </c>
      <c r="Y8" s="8">
        <f>X51</f>
        <v/>
      </c>
      <c r="Z8" s="8">
        <f>Y51</f>
        <v/>
      </c>
      <c r="AA8" s="8">
        <f>Z51</f>
        <v/>
      </c>
      <c r="AB8" s="8">
        <f>AA51</f>
        <v/>
      </c>
      <c r="AC8" s="8">
        <f>AB51</f>
        <v/>
      </c>
      <c r="AD8" s="8">
        <f>AC51</f>
        <v/>
      </c>
      <c r="AE8" s="8">
        <f>AD51</f>
        <v/>
      </c>
    </row>
    <row r="9">
      <c r="A9" s="11" t="inlineStr">
        <is>
          <t>Roth IRA</t>
        </is>
      </c>
      <c r="B9" s="8">
        <f>StartRoth</f>
        <v/>
      </c>
      <c r="C9" s="8">
        <f>B52</f>
        <v/>
      </c>
      <c r="D9" s="8">
        <f>C52</f>
        <v/>
      </c>
      <c r="E9" s="8">
        <f>D52</f>
        <v/>
      </c>
      <c r="F9" s="8">
        <f>E52</f>
        <v/>
      </c>
      <c r="G9" s="8">
        <f>F52</f>
        <v/>
      </c>
      <c r="H9" s="8">
        <f>G52</f>
        <v/>
      </c>
      <c r="I9" s="8">
        <f>H52</f>
        <v/>
      </c>
      <c r="J9" s="8">
        <f>I52</f>
        <v/>
      </c>
      <c r="K9" s="8">
        <f>J52</f>
        <v/>
      </c>
      <c r="L9" s="8">
        <f>K52</f>
        <v/>
      </c>
      <c r="M9" s="8">
        <f>L52</f>
        <v/>
      </c>
      <c r="N9" s="8">
        <f>M52</f>
        <v/>
      </c>
      <c r="O9" s="8">
        <f>N52</f>
        <v/>
      </c>
      <c r="P9" s="8">
        <f>O52</f>
        <v/>
      </c>
      <c r="Q9" s="8">
        <f>P52</f>
        <v/>
      </c>
      <c r="R9" s="8">
        <f>Q52</f>
        <v/>
      </c>
      <c r="S9" s="8">
        <f>R52</f>
        <v/>
      </c>
      <c r="T9" s="8">
        <f>S52</f>
        <v/>
      </c>
      <c r="U9" s="8">
        <f>T52</f>
        <v/>
      </c>
      <c r="V9" s="8">
        <f>U52</f>
        <v/>
      </c>
      <c r="W9" s="8">
        <f>V52</f>
        <v/>
      </c>
      <c r="X9" s="8">
        <f>W52</f>
        <v/>
      </c>
      <c r="Y9" s="8">
        <f>X52</f>
        <v/>
      </c>
      <c r="Z9" s="8">
        <f>Y52</f>
        <v/>
      </c>
      <c r="AA9" s="8">
        <f>Z52</f>
        <v/>
      </c>
      <c r="AB9" s="8">
        <f>AA52</f>
        <v/>
      </c>
      <c r="AC9" s="8">
        <f>AB52</f>
        <v/>
      </c>
      <c r="AD9" s="8">
        <f>AC52</f>
        <v/>
      </c>
      <c r="AE9" s="8">
        <f>AD52</f>
        <v/>
      </c>
    </row>
    <row r="10">
      <c r="A10" s="11" t="inlineStr">
        <is>
          <t>Total</t>
        </is>
      </c>
      <c r="B10" s="8">
        <f>B7+B8+B9</f>
        <v/>
      </c>
      <c r="C10" s="8">
        <f>C7+C8+C9</f>
        <v/>
      </c>
      <c r="D10" s="8">
        <f>D7+D8+D9</f>
        <v/>
      </c>
      <c r="E10" s="8">
        <f>E7+E8+E9</f>
        <v/>
      </c>
      <c r="F10" s="8">
        <f>F7+F8+F9</f>
        <v/>
      </c>
      <c r="G10" s="8">
        <f>G7+G8+G9</f>
        <v/>
      </c>
      <c r="H10" s="8">
        <f>H7+H8+H9</f>
        <v/>
      </c>
      <c r="I10" s="8">
        <f>I7+I8+I9</f>
        <v/>
      </c>
      <c r="J10" s="8">
        <f>J7+J8+J9</f>
        <v/>
      </c>
      <c r="K10" s="8">
        <f>K7+K8+K9</f>
        <v/>
      </c>
      <c r="L10" s="8">
        <f>L7+L8+L9</f>
        <v/>
      </c>
      <c r="M10" s="8">
        <f>M7+M8+M9</f>
        <v/>
      </c>
      <c r="N10" s="8">
        <f>N7+N8+N9</f>
        <v/>
      </c>
      <c r="O10" s="8">
        <f>O7+O8+O9</f>
        <v/>
      </c>
      <c r="P10" s="8">
        <f>P7+P8+P9</f>
        <v/>
      </c>
      <c r="Q10" s="8">
        <f>Q7+Q8+Q9</f>
        <v/>
      </c>
      <c r="R10" s="8">
        <f>R7+R8+R9</f>
        <v/>
      </c>
      <c r="S10" s="8">
        <f>S7+S8+S9</f>
        <v/>
      </c>
      <c r="T10" s="8">
        <f>T7+T8+T9</f>
        <v/>
      </c>
      <c r="U10" s="8">
        <f>U7+U8+U9</f>
        <v/>
      </c>
      <c r="V10" s="8">
        <f>V7+V8+V9</f>
        <v/>
      </c>
      <c r="W10" s="8">
        <f>W7+W8+W9</f>
        <v/>
      </c>
      <c r="X10" s="8">
        <f>X7+X8+X9</f>
        <v/>
      </c>
      <c r="Y10" s="8">
        <f>Y7+Y8+Y9</f>
        <v/>
      </c>
      <c r="Z10" s="8">
        <f>Z7+Z8+Z9</f>
        <v/>
      </c>
      <c r="AA10" s="8">
        <f>AA7+AA8+AA9</f>
        <v/>
      </c>
      <c r="AB10" s="8">
        <f>AB7+AB8+AB9</f>
        <v/>
      </c>
      <c r="AC10" s="8">
        <f>AC7+AC8+AC9</f>
        <v/>
      </c>
      <c r="AD10" s="8">
        <f>AD7+AD8+AD9</f>
        <v/>
      </c>
      <c r="AE10" s="8">
        <f>AE7+AE8+AE9</f>
        <v/>
      </c>
    </row>
    <row r="11">
      <c r="A11" t="inlineStr"/>
    </row>
    <row r="12">
      <c r="A12" s="12" t="inlineStr">
        <is>
          <t>INCOME &amp; EXPENSES</t>
        </is>
      </c>
    </row>
    <row r="13">
      <c r="A13" s="11" t="inlineStr">
        <is>
          <t>Social Security</t>
        </is>
      </c>
      <c r="B13" s="8">
        <f>IF(B4,SSAnnual,SurvivorSS*12)</f>
        <v/>
      </c>
      <c r="C13" s="8">
        <f>IF(C4,B13*(1+SSCOLA),SurvivorSS*12*(1+SSCOLA)^1)</f>
        <v/>
      </c>
      <c r="D13" s="8">
        <f>IF(D4,C13*(1+SSCOLA),SurvivorSS*12*(1+SSCOLA)^2)</f>
        <v/>
      </c>
      <c r="E13" s="8">
        <f>IF(E4,D13*(1+SSCOLA),SurvivorSS*12*(1+SSCOLA)^3)</f>
        <v/>
      </c>
      <c r="F13" s="8">
        <f>IF(F4,E13*(1+SSCOLA),SurvivorSS*12*(1+SSCOLA)^4)</f>
        <v/>
      </c>
      <c r="G13" s="8">
        <f>IF(G4,F13*(1+SSCOLA),SurvivorSS*12*(1+SSCOLA)^5)</f>
        <v/>
      </c>
      <c r="H13" s="8">
        <f>IF(H4,G13*(1+SSCOLA),SurvivorSS*12*(1+SSCOLA)^6)</f>
        <v/>
      </c>
      <c r="I13" s="8">
        <f>IF(I4,H13*(1+SSCOLA),SurvivorSS*12*(1+SSCOLA)^7)</f>
        <v/>
      </c>
      <c r="J13" s="8">
        <f>IF(J4,I13*(1+SSCOLA),SurvivorSS*12*(1+SSCOLA)^8)</f>
        <v/>
      </c>
      <c r="K13" s="8">
        <f>IF(K4,J13*(1+SSCOLA),SurvivorSS*12*(1+SSCOLA)^9)</f>
        <v/>
      </c>
      <c r="L13" s="8">
        <f>IF(L4,K13*(1+SSCOLA),SurvivorSS*12*(1+SSCOLA)^10)</f>
        <v/>
      </c>
      <c r="M13" s="8">
        <f>IF(M4,L13*(1+SSCOLA),SurvivorSS*12*(1+SSCOLA)^11)</f>
        <v/>
      </c>
      <c r="N13" s="8">
        <f>IF(N4,M13*(1+SSCOLA),SurvivorSS*12*(1+SSCOLA)^12)</f>
        <v/>
      </c>
      <c r="O13" s="8">
        <f>IF(O4,N13*(1+SSCOLA),SurvivorSS*12*(1+SSCOLA)^13)</f>
        <v/>
      </c>
      <c r="P13" s="8">
        <f>IF(P4,O13*(1+SSCOLA),SurvivorSS*12*(1+SSCOLA)^14)</f>
        <v/>
      </c>
      <c r="Q13" s="8">
        <f>IF(Q4,P13*(1+SSCOLA),SurvivorSS*12*(1+SSCOLA)^15)</f>
        <v/>
      </c>
      <c r="R13" s="8">
        <f>IF(R4,Q13*(1+SSCOLA),SurvivorSS*12*(1+SSCOLA)^16)</f>
        <v/>
      </c>
      <c r="S13" s="8">
        <f>IF(S4,R13*(1+SSCOLA),SurvivorSS*12*(1+SSCOLA)^17)</f>
        <v/>
      </c>
      <c r="T13" s="8">
        <f>IF(T4,S13*(1+SSCOLA),SurvivorSS*12*(1+SSCOLA)^18)</f>
        <v/>
      </c>
      <c r="U13" s="8">
        <f>IF(U4,T13*(1+SSCOLA),SurvivorSS*12*(1+SSCOLA)^19)</f>
        <v/>
      </c>
      <c r="V13" s="8">
        <f>IF(V4,U13*(1+SSCOLA),SurvivorSS*12*(1+SSCOLA)^20)</f>
        <v/>
      </c>
      <c r="W13" s="8">
        <f>IF(W4,V13*(1+SSCOLA),SurvivorSS*12*(1+SSCOLA)^21)</f>
        <v/>
      </c>
      <c r="X13" s="8">
        <f>IF(X4,W13*(1+SSCOLA),SurvivorSS*12*(1+SSCOLA)^22)</f>
        <v/>
      </c>
      <c r="Y13" s="8">
        <f>IF(Y4,X13*(1+SSCOLA),SurvivorSS*12*(1+SSCOLA)^23)</f>
        <v/>
      </c>
      <c r="Z13" s="8">
        <f>IF(Z4,Y13*(1+SSCOLA),SurvivorSS*12*(1+SSCOLA)^24)</f>
        <v/>
      </c>
      <c r="AA13" s="8">
        <f>IF(AA4,Z13*(1+SSCOLA),SurvivorSS*12*(1+SSCOLA)^25)</f>
        <v/>
      </c>
      <c r="AB13" s="8">
        <f>IF(AB4,AA13*(1+SSCOLA),SurvivorSS*12*(1+SSCOLA)^26)</f>
        <v/>
      </c>
      <c r="AC13" s="8">
        <f>IF(AC4,AB13*(1+SSCOLA),SurvivorSS*12*(1+SSCOLA)^27)</f>
        <v/>
      </c>
      <c r="AD13" s="8">
        <f>IF(AD4,AC13*(1+SSCOLA),SurvivorSS*12*(1+SSCOLA)^28)</f>
        <v/>
      </c>
      <c r="AE13" s="8">
        <f>IF(AE4,AD13*(1+SSCOLA),SurvivorSS*12*(1+SSCOLA)^29)</f>
        <v/>
      </c>
    </row>
    <row r="14">
      <c r="A14" s="11" t="inlineStr">
        <is>
          <t>Other Income</t>
        </is>
      </c>
      <c r="B14" s="8">
        <f>IFERROR(VLOOKUP(B1,OtherIncomeTable,2,FALSE),0)</f>
        <v/>
      </c>
      <c r="C14" s="8">
        <f>IFERROR(VLOOKUP(C1,OtherIncomeTable,2,FALSE),0)</f>
        <v/>
      </c>
      <c r="D14" s="8">
        <f>IFERROR(VLOOKUP(D1,OtherIncomeTable,2,FALSE),0)</f>
        <v/>
      </c>
      <c r="E14" s="8">
        <f>IFERROR(VLOOKUP(E1,OtherIncomeTable,2,FALSE),0)</f>
        <v/>
      </c>
      <c r="F14" s="8">
        <f>IFERROR(VLOOKUP(F1,OtherIncomeTable,2,FALSE),0)</f>
        <v/>
      </c>
      <c r="G14" s="8">
        <f>IFERROR(VLOOKUP(G1,OtherIncomeTable,2,FALSE),0)</f>
        <v/>
      </c>
      <c r="H14" s="8">
        <f>IFERROR(VLOOKUP(H1,OtherIncomeTable,2,FALSE),0)</f>
        <v/>
      </c>
      <c r="I14" s="8">
        <f>IFERROR(VLOOKUP(I1,OtherIncomeTable,2,FALSE),0)</f>
        <v/>
      </c>
      <c r="J14" s="8">
        <f>IFERROR(VLOOKUP(J1,OtherIncomeTable,2,FALSE),0)</f>
        <v/>
      </c>
      <c r="K14" s="8">
        <f>IFERROR(VLOOKUP(K1,OtherIncomeTable,2,FALSE),0)</f>
        <v/>
      </c>
      <c r="L14" s="8">
        <f>IFERROR(VLOOKUP(L1,OtherIncomeTable,2,FALSE),0)</f>
        <v/>
      </c>
      <c r="M14" s="8">
        <f>IFERROR(VLOOKUP(M1,OtherIncomeTable,2,FALSE),0)</f>
        <v/>
      </c>
      <c r="N14" s="8">
        <f>IFERROR(VLOOKUP(N1,OtherIncomeTable,2,FALSE),0)</f>
        <v/>
      </c>
      <c r="O14" s="8">
        <f>IFERROR(VLOOKUP(O1,OtherIncomeTable,2,FALSE),0)</f>
        <v/>
      </c>
      <c r="P14" s="8">
        <f>IFERROR(VLOOKUP(P1,OtherIncomeTable,2,FALSE),0)</f>
        <v/>
      </c>
      <c r="Q14" s="8">
        <f>IFERROR(VLOOKUP(Q1,OtherIncomeTable,2,FALSE),0)</f>
        <v/>
      </c>
      <c r="R14" s="8">
        <f>IFERROR(VLOOKUP(R1,OtherIncomeTable,2,FALSE),0)</f>
        <v/>
      </c>
      <c r="S14" s="8">
        <f>IFERROR(VLOOKUP(S1,OtherIncomeTable,2,FALSE),0)</f>
        <v/>
      </c>
      <c r="T14" s="8">
        <f>IFERROR(VLOOKUP(T1,OtherIncomeTable,2,FALSE),0)</f>
        <v/>
      </c>
      <c r="U14" s="8">
        <f>IFERROR(VLOOKUP(U1,OtherIncomeTable,2,FALSE),0)</f>
        <v/>
      </c>
      <c r="V14" s="8">
        <f>IFERROR(VLOOKUP(V1,OtherIncomeTable,2,FALSE),0)</f>
        <v/>
      </c>
      <c r="W14" s="8">
        <f>IFERROR(VLOOKUP(W1,OtherIncomeTable,2,FALSE),0)</f>
        <v/>
      </c>
      <c r="X14" s="8">
        <f>IFERROR(VLOOKUP(X1,OtherIncomeTable,2,FALSE),0)</f>
        <v/>
      </c>
      <c r="Y14" s="8">
        <f>IFERROR(VLOOKUP(Y1,OtherIncomeTable,2,FALSE),0)</f>
        <v/>
      </c>
      <c r="Z14" s="8">
        <f>IFERROR(VLOOKUP(Z1,OtherIncomeTable,2,FALSE),0)</f>
        <v/>
      </c>
      <c r="AA14" s="8">
        <f>IFERROR(VLOOKUP(AA1,OtherIncomeTable,2,FALSE),0)</f>
        <v/>
      </c>
      <c r="AB14" s="8">
        <f>IFERROR(VLOOKUP(AB1,OtherIncomeTable,2,FALSE),0)</f>
        <v/>
      </c>
      <c r="AC14" s="8">
        <f>IFERROR(VLOOKUP(AC1,OtherIncomeTable,2,FALSE),0)</f>
        <v/>
      </c>
      <c r="AD14" s="8">
        <f>IFERROR(VLOOKUP(AD1,OtherIncomeTable,2,FALSE),0)</f>
        <v/>
      </c>
      <c r="AE14" s="8">
        <f>IFERROR(VLOOKUP(AE1,OtherIncomeTable,2,FALSE),0)</f>
        <v/>
      </c>
    </row>
    <row r="15">
      <c r="A15" s="11" t="inlineStr">
        <is>
          <t>Base Expenses</t>
        </is>
      </c>
      <c r="B15" s="8">
        <f>StartExpenses</f>
        <v/>
      </c>
      <c r="C15" s="8">
        <f>B15*(1+ExpenseInflation)</f>
        <v/>
      </c>
      <c r="D15" s="8">
        <f>C15*(1+ExpenseInflation)</f>
        <v/>
      </c>
      <c r="E15" s="8">
        <f>D15*(1+ExpenseInflation)</f>
        <v/>
      </c>
      <c r="F15" s="8">
        <f>E15*(1+ExpenseInflation)</f>
        <v/>
      </c>
      <c r="G15" s="8">
        <f>F15*(1+ExpenseInflation)</f>
        <v/>
      </c>
      <c r="H15" s="8">
        <f>G15*(1+ExpenseInflation)</f>
        <v/>
      </c>
      <c r="I15" s="8">
        <f>H15*(1+ExpenseInflation)</f>
        <v/>
      </c>
      <c r="J15" s="8">
        <f>I15*(1+ExpenseInflation)</f>
        <v/>
      </c>
      <c r="K15" s="8">
        <f>J15*(1+ExpenseInflation)</f>
        <v/>
      </c>
      <c r="L15" s="8">
        <f>K15*(1+ExpenseInflation)</f>
        <v/>
      </c>
      <c r="M15" s="8">
        <f>L15*(1+ExpenseInflation)</f>
        <v/>
      </c>
      <c r="N15" s="8">
        <f>M15*(1+ExpenseInflation)</f>
        <v/>
      </c>
      <c r="O15" s="8">
        <f>N15*(1+ExpenseInflation)</f>
        <v/>
      </c>
      <c r="P15" s="8">
        <f>O15*(1+ExpenseInflation)</f>
        <v/>
      </c>
      <c r="Q15" s="8">
        <f>P15*(1+ExpenseInflation)</f>
        <v/>
      </c>
      <c r="R15" s="8">
        <f>Q15*(1+ExpenseInflation)</f>
        <v/>
      </c>
      <c r="S15" s="8">
        <f>R15*(1+ExpenseInflation)</f>
        <v/>
      </c>
      <c r="T15" s="8">
        <f>S15*(1+ExpenseInflation)</f>
        <v/>
      </c>
      <c r="U15" s="8">
        <f>T15*(1+ExpenseInflation)</f>
        <v/>
      </c>
      <c r="V15" s="8">
        <f>U15*(1+ExpenseInflation)</f>
        <v/>
      </c>
      <c r="W15" s="8">
        <f>V15*(1+ExpenseInflation)</f>
        <v/>
      </c>
      <c r="X15" s="8">
        <f>W15*(1+ExpenseInflation)</f>
        <v/>
      </c>
      <c r="Y15" s="8">
        <f>X15*(1+ExpenseInflation)</f>
        <v/>
      </c>
      <c r="Z15" s="8">
        <f>Y15*(1+ExpenseInflation)</f>
        <v/>
      </c>
      <c r="AA15" s="8">
        <f>Z15*(1+ExpenseInflation)</f>
        <v/>
      </c>
      <c r="AB15" s="8">
        <f>AA15*(1+ExpenseInflation)</f>
        <v/>
      </c>
      <c r="AC15" s="8">
        <f>AB15*(1+ExpenseInflation)</f>
        <v/>
      </c>
      <c r="AD15" s="8">
        <f>AC15*(1+ExpenseInflation)</f>
        <v/>
      </c>
      <c r="AE15" s="8">
        <f>AD15*(1+ExpenseInflation)</f>
        <v/>
      </c>
    </row>
    <row r="16">
      <c r="A16" s="11" t="inlineStr">
        <is>
          <t>RMD Required</t>
        </is>
      </c>
      <c r="B16" s="8">
        <f>IF(IF(B4,B2,B3)&gt;=73,IFERROR(B8/VLOOKUP(IF(B4,B2,B3),RMDTable,2,TRUE),B8/2),0)</f>
        <v/>
      </c>
      <c r="C16" s="8">
        <f>IF(IF(C4,C2,C3)&gt;=73,IFERROR(C8/VLOOKUP(IF(C4,C2,C3),RMDTable,2,TRUE),C8/2),0)</f>
        <v/>
      </c>
      <c r="D16" s="8">
        <f>IF(IF(D4,D2,D3)&gt;=73,IFERROR(D8/VLOOKUP(IF(D4,D2,D3),RMDTable,2,TRUE),D8/2),0)</f>
        <v/>
      </c>
      <c r="E16" s="8">
        <f>IF(IF(E4,E2,E3)&gt;=73,IFERROR(E8/VLOOKUP(IF(E4,E2,E3),RMDTable,2,TRUE),E8/2),0)</f>
        <v/>
      </c>
      <c r="F16" s="8">
        <f>IF(IF(F4,F2,F3)&gt;=73,IFERROR(F8/VLOOKUP(IF(F4,F2,F3),RMDTable,2,TRUE),F8/2),0)</f>
        <v/>
      </c>
      <c r="G16" s="8">
        <f>IF(IF(G4,G2,G3)&gt;=73,IFERROR(G8/VLOOKUP(IF(G4,G2,G3),RMDTable,2,TRUE),G8/2),0)</f>
        <v/>
      </c>
      <c r="H16" s="8">
        <f>IF(IF(H4,H2,H3)&gt;=73,IFERROR(H8/VLOOKUP(IF(H4,H2,H3),RMDTable,2,TRUE),H8/2),0)</f>
        <v/>
      </c>
      <c r="I16" s="8">
        <f>IF(IF(I4,I2,I3)&gt;=73,IFERROR(I8/VLOOKUP(IF(I4,I2,I3),RMDTable,2,TRUE),I8/2),0)</f>
        <v/>
      </c>
      <c r="J16" s="8">
        <f>IF(IF(J4,J2,J3)&gt;=73,IFERROR(J8/VLOOKUP(IF(J4,J2,J3),RMDTable,2,TRUE),J8/2),0)</f>
        <v/>
      </c>
      <c r="K16" s="8">
        <f>IF(IF(K4,K2,K3)&gt;=73,IFERROR(K8/VLOOKUP(IF(K4,K2,K3),RMDTable,2,TRUE),K8/2),0)</f>
        <v/>
      </c>
      <c r="L16" s="8">
        <f>IF(IF(L4,L2,L3)&gt;=73,IFERROR(L8/VLOOKUP(IF(L4,L2,L3),RMDTable,2,TRUE),L8/2),0)</f>
        <v/>
      </c>
      <c r="M16" s="8">
        <f>IF(IF(M4,M2,M3)&gt;=73,IFERROR(M8/VLOOKUP(IF(M4,M2,M3),RMDTable,2,TRUE),M8/2),0)</f>
        <v/>
      </c>
      <c r="N16" s="8">
        <f>IF(IF(N4,N2,N3)&gt;=73,IFERROR(N8/VLOOKUP(IF(N4,N2,N3),RMDTable,2,TRUE),N8/2),0)</f>
        <v/>
      </c>
      <c r="O16" s="8">
        <f>IF(IF(O4,O2,O3)&gt;=73,IFERROR(O8/VLOOKUP(IF(O4,O2,O3),RMDTable,2,TRUE),O8/2),0)</f>
        <v/>
      </c>
      <c r="P16" s="8">
        <f>IF(IF(P4,P2,P3)&gt;=73,IFERROR(P8/VLOOKUP(IF(P4,P2,P3),RMDTable,2,TRUE),P8/2),0)</f>
        <v/>
      </c>
      <c r="Q16" s="8">
        <f>IF(IF(Q4,Q2,Q3)&gt;=73,IFERROR(Q8/VLOOKUP(IF(Q4,Q2,Q3),RMDTable,2,TRUE),Q8/2),0)</f>
        <v/>
      </c>
      <c r="R16" s="8">
        <f>IF(IF(R4,R2,R3)&gt;=73,IFERROR(R8/VLOOKUP(IF(R4,R2,R3),RMDTable,2,TRUE),R8/2),0)</f>
        <v/>
      </c>
      <c r="S16" s="8">
        <f>IF(IF(S4,S2,S3)&gt;=73,IFERROR(S8/VLOOKUP(IF(S4,S2,S3),RMDTable,2,TRUE),S8/2),0)</f>
        <v/>
      </c>
      <c r="T16" s="8">
        <f>IF(IF(T4,T2,T3)&gt;=73,IFERROR(T8/VLOOKUP(IF(T4,T2,T3),RMDTable,2,TRUE),T8/2),0)</f>
        <v/>
      </c>
      <c r="U16" s="8">
        <f>IF(IF(U4,U2,U3)&gt;=73,IFERROR(U8/VLOOKUP(IF(U4,U2,U3),RMDTable,2,TRUE),U8/2),0)</f>
        <v/>
      </c>
      <c r="V16" s="8">
        <f>IF(IF(V4,V2,V3)&gt;=73,IFERROR(V8/VLOOKUP(IF(V4,V2,V3),RMDTable,2,TRUE),V8/2),0)</f>
        <v/>
      </c>
      <c r="W16" s="8">
        <f>IF(IF(W4,W2,W3)&gt;=73,IFERROR(W8/VLOOKUP(IF(W4,W2,W3),RMDTable,2,TRUE),W8/2),0)</f>
        <v/>
      </c>
      <c r="X16" s="8">
        <f>IF(IF(X4,X2,X3)&gt;=73,IFERROR(X8/VLOOKUP(IF(X4,X2,X3),RMDTable,2,TRUE),X8/2),0)</f>
        <v/>
      </c>
      <c r="Y16" s="8">
        <f>IF(IF(Y4,Y2,Y3)&gt;=73,IFERROR(Y8/VLOOKUP(IF(Y4,Y2,Y3),RMDTable,2,TRUE),Y8/2),0)</f>
        <v/>
      </c>
      <c r="Z16" s="8">
        <f>IF(IF(Z4,Z2,Z3)&gt;=73,IFERROR(Z8/VLOOKUP(IF(Z4,Z2,Z3),RMDTable,2,TRUE),Z8/2),0)</f>
        <v/>
      </c>
      <c r="AA16" s="8">
        <f>IF(IF(AA4,AA2,AA3)&gt;=73,IFERROR(AA8/VLOOKUP(IF(AA4,AA2,AA3),RMDTable,2,TRUE),AA8/2),0)</f>
        <v/>
      </c>
      <c r="AB16" s="8">
        <f>IF(IF(AB4,AB2,AB3)&gt;=73,IFERROR(AB8/VLOOKUP(IF(AB4,AB2,AB3),RMDTable,2,TRUE),AB8/2),0)</f>
        <v/>
      </c>
      <c r="AC16" s="8">
        <f>IF(IF(AC4,AC2,AC3)&gt;=73,IFERROR(AC8/VLOOKUP(IF(AC4,AC2,AC3),RMDTable,2,TRUE),AC8/2),0)</f>
        <v/>
      </c>
      <c r="AD16" s="8">
        <f>IF(IF(AD4,AD2,AD3)&gt;=73,IFERROR(AD8/VLOOKUP(IF(AD4,AD2,AD3),RMDTable,2,TRUE),AD8/2),0)</f>
        <v/>
      </c>
      <c r="AE16" s="8">
        <f>IF(IF(AE4,AE2,AE3)&gt;=73,IFERROR(AE8/VLOOKUP(IF(AE4,AE2,AE3),RMDTable,2,TRUE),AE8/2),0)</f>
        <v/>
      </c>
    </row>
    <row r="17">
      <c r="A17" s="11" t="inlineStr">
        <is>
          <t>Roth Conversion</t>
        </is>
      </c>
      <c r="B17" s="8">
        <f>IFERROR(VLOOKUP(B1,RothConvTable,2,FALSE),0)</f>
        <v/>
      </c>
      <c r="C17" s="8">
        <f>IFERROR(VLOOKUP(C1,RothConvTable,2,FALSE),0)</f>
        <v/>
      </c>
      <c r="D17" s="8">
        <f>IFERROR(VLOOKUP(D1,RothConvTable,2,FALSE),0)</f>
        <v/>
      </c>
      <c r="E17" s="8">
        <f>IFERROR(VLOOKUP(E1,RothConvTable,2,FALSE),0)</f>
        <v/>
      </c>
      <c r="F17" s="8">
        <f>IFERROR(VLOOKUP(F1,RothConvTable,2,FALSE),0)</f>
        <v/>
      </c>
      <c r="G17" s="8">
        <f>IFERROR(VLOOKUP(G1,RothConvTable,2,FALSE),0)</f>
        <v/>
      </c>
      <c r="H17" s="8">
        <f>IFERROR(VLOOKUP(H1,RothConvTable,2,FALSE),0)</f>
        <v/>
      </c>
      <c r="I17" s="8">
        <f>IFERROR(VLOOKUP(I1,RothConvTable,2,FALSE),0)</f>
        <v/>
      </c>
      <c r="J17" s="8">
        <f>IFERROR(VLOOKUP(J1,RothConvTable,2,FALSE),0)</f>
        <v/>
      </c>
      <c r="K17" s="8">
        <f>IFERROR(VLOOKUP(K1,RothConvTable,2,FALSE),0)</f>
        <v/>
      </c>
      <c r="L17" s="8">
        <f>IFERROR(VLOOKUP(L1,RothConvTable,2,FALSE),0)</f>
        <v/>
      </c>
      <c r="M17" s="8">
        <f>IFERROR(VLOOKUP(M1,RothConvTable,2,FALSE),0)</f>
        <v/>
      </c>
      <c r="N17" s="8">
        <f>IFERROR(VLOOKUP(N1,RothConvTable,2,FALSE),0)</f>
        <v/>
      </c>
      <c r="O17" s="8">
        <f>IFERROR(VLOOKUP(O1,RothConvTable,2,FALSE),0)</f>
        <v/>
      </c>
      <c r="P17" s="8">
        <f>IFERROR(VLOOKUP(P1,RothConvTable,2,FALSE),0)</f>
        <v/>
      </c>
      <c r="Q17" s="8">
        <f>IFERROR(VLOOKUP(Q1,RothConvTable,2,FALSE),0)</f>
        <v/>
      </c>
      <c r="R17" s="8">
        <f>IFERROR(VLOOKUP(R1,RothConvTable,2,FALSE),0)</f>
        <v/>
      </c>
      <c r="S17" s="8">
        <f>IFERROR(VLOOKUP(S1,RothConvTable,2,FALSE),0)</f>
        <v/>
      </c>
      <c r="T17" s="8">
        <f>IFERROR(VLOOKUP(T1,RothConvTable,2,FALSE),0)</f>
        <v/>
      </c>
      <c r="U17" s="8">
        <f>IFERROR(VLOOKUP(U1,RothConvTable,2,FALSE),0)</f>
        <v/>
      </c>
      <c r="V17" s="8">
        <f>IFERROR(VLOOKUP(V1,RothConvTable,2,FALSE),0)</f>
        <v/>
      </c>
      <c r="W17" s="8">
        <f>IFERROR(VLOOKUP(W1,RothConvTable,2,FALSE),0)</f>
        <v/>
      </c>
      <c r="X17" s="8">
        <f>IFERROR(VLOOKUP(X1,RothConvTable,2,FALSE),0)</f>
        <v/>
      </c>
      <c r="Y17" s="8">
        <f>IFERROR(VLOOKUP(Y1,RothConvTable,2,FALSE),0)</f>
        <v/>
      </c>
      <c r="Z17" s="8">
        <f>IFERROR(VLOOKUP(Z1,RothConvTable,2,FALSE),0)</f>
        <v/>
      </c>
      <c r="AA17" s="8">
        <f>IFERROR(VLOOKUP(AA1,RothConvTable,2,FALSE),0)</f>
        <v/>
      </c>
      <c r="AB17" s="8">
        <f>IFERROR(VLOOKUP(AB1,RothConvTable,2,FALSE),0)</f>
        <v/>
      </c>
      <c r="AC17" s="8">
        <f>IFERROR(VLOOKUP(AC1,RothConvTable,2,FALSE),0)</f>
        <v/>
      </c>
      <c r="AD17" s="8">
        <f>IFERROR(VLOOKUP(AD1,RothConvTable,2,FALSE),0)</f>
        <v/>
      </c>
      <c r="AE17" s="8">
        <f>IFERROR(VLOOKUP(AE1,RothConvTable,2,FALSE),0)</f>
        <v/>
      </c>
    </row>
    <row r="18">
      <c r="A18" t="inlineStr"/>
    </row>
    <row r="19">
      <c r="A19" s="12" t="inlineStr">
        <is>
          <t>INVESTMENT RETURNS</t>
        </is>
      </c>
    </row>
    <row r="20">
      <c r="A20" s="11" t="inlineStr">
        <is>
          <t>Return After-Tax</t>
        </is>
      </c>
      <c r="B20" s="8">
        <f>IF(UseBlendedReturns="Yes",B7*'Risk Allocation'!B26,B7*ReturnAfterTax)</f>
        <v/>
      </c>
      <c r="C20" s="8">
        <f>IF(UseBlendedReturns="Yes",C7*'Risk Allocation'!C26,C7*ReturnAfterTax)</f>
        <v/>
      </c>
      <c r="D20" s="8">
        <f>IF(UseBlendedReturns="Yes",D7*'Risk Allocation'!D26,D7*ReturnAfterTax)</f>
        <v/>
      </c>
      <c r="E20" s="8">
        <f>IF(UseBlendedReturns="Yes",E7*'Risk Allocation'!E26,E7*ReturnAfterTax)</f>
        <v/>
      </c>
      <c r="F20" s="8">
        <f>IF(UseBlendedReturns="Yes",F7*'Risk Allocation'!F26,F7*ReturnAfterTax)</f>
        <v/>
      </c>
      <c r="G20" s="8">
        <f>IF(UseBlendedReturns="Yes",G7*'Risk Allocation'!G26,G7*ReturnAfterTax)</f>
        <v/>
      </c>
      <c r="H20" s="8">
        <f>IF(UseBlendedReturns="Yes",H7*'Risk Allocation'!H26,H7*ReturnAfterTax)</f>
        <v/>
      </c>
      <c r="I20" s="8">
        <f>IF(UseBlendedReturns="Yes",I7*'Risk Allocation'!I26,I7*ReturnAfterTax)</f>
        <v/>
      </c>
      <c r="J20" s="8">
        <f>IF(UseBlendedReturns="Yes",J7*'Risk Allocation'!J26,J7*ReturnAfterTax)</f>
        <v/>
      </c>
      <c r="K20" s="8">
        <f>IF(UseBlendedReturns="Yes",K7*'Risk Allocation'!K26,K7*ReturnAfterTax)</f>
        <v/>
      </c>
      <c r="L20" s="8">
        <f>IF(UseBlendedReturns="Yes",L7*'Risk Allocation'!L26,L7*ReturnAfterTax)</f>
        <v/>
      </c>
      <c r="M20" s="8">
        <f>IF(UseBlendedReturns="Yes",M7*'Risk Allocation'!M26,M7*ReturnAfterTax)</f>
        <v/>
      </c>
      <c r="N20" s="8">
        <f>IF(UseBlendedReturns="Yes",N7*'Risk Allocation'!N26,N7*ReturnAfterTax)</f>
        <v/>
      </c>
      <c r="O20" s="8">
        <f>IF(UseBlendedReturns="Yes",O7*'Risk Allocation'!O26,O7*ReturnAfterTax)</f>
        <v/>
      </c>
      <c r="P20" s="8">
        <f>IF(UseBlendedReturns="Yes",P7*'Risk Allocation'!P26,P7*ReturnAfterTax)</f>
        <v/>
      </c>
      <c r="Q20" s="8">
        <f>IF(UseBlendedReturns="Yes",Q7*'Risk Allocation'!Q26,Q7*ReturnAfterTax)</f>
        <v/>
      </c>
      <c r="R20" s="8">
        <f>IF(UseBlendedReturns="Yes",R7*'Risk Allocation'!R26,R7*ReturnAfterTax)</f>
        <v/>
      </c>
      <c r="S20" s="8">
        <f>IF(UseBlendedReturns="Yes",S7*'Risk Allocation'!S26,S7*ReturnAfterTax)</f>
        <v/>
      </c>
      <c r="T20" s="8">
        <f>IF(UseBlendedReturns="Yes",T7*'Risk Allocation'!T26,T7*ReturnAfterTax)</f>
        <v/>
      </c>
      <c r="U20" s="8">
        <f>IF(UseBlendedReturns="Yes",U7*'Risk Allocation'!U26,U7*ReturnAfterTax)</f>
        <v/>
      </c>
      <c r="V20" s="8">
        <f>IF(UseBlendedReturns="Yes",V7*'Risk Allocation'!V26,V7*ReturnAfterTax)</f>
        <v/>
      </c>
      <c r="W20" s="8">
        <f>IF(UseBlendedReturns="Yes",W7*'Risk Allocation'!W26,W7*ReturnAfterTax)</f>
        <v/>
      </c>
      <c r="X20" s="8">
        <f>IF(UseBlendedReturns="Yes",X7*'Risk Allocation'!X26,X7*ReturnAfterTax)</f>
        <v/>
      </c>
      <c r="Y20" s="8">
        <f>IF(UseBlendedReturns="Yes",Y7*'Risk Allocation'!Y26,Y7*ReturnAfterTax)</f>
        <v/>
      </c>
      <c r="Z20" s="8">
        <f>IF(UseBlendedReturns="Yes",Z7*'Risk Allocation'!Z26,Z7*ReturnAfterTax)</f>
        <v/>
      </c>
      <c r="AA20" s="8">
        <f>IF(UseBlendedReturns="Yes",AA7*'Risk Allocation'!AA26,AA7*ReturnAfterTax)</f>
        <v/>
      </c>
      <c r="AB20" s="8">
        <f>IF(UseBlendedReturns="Yes",AB7*'Risk Allocation'!AB26,AB7*ReturnAfterTax)</f>
        <v/>
      </c>
      <c r="AC20" s="8">
        <f>IF(UseBlendedReturns="Yes",AC7*'Risk Allocation'!AC26,AC7*ReturnAfterTax)</f>
        <v/>
      </c>
      <c r="AD20" s="8">
        <f>IF(UseBlendedReturns="Yes",AD7*'Risk Allocation'!AD26,AD7*ReturnAfterTax)</f>
        <v/>
      </c>
      <c r="AE20" s="8">
        <f>IF(UseBlendedReturns="Yes",AE7*'Risk Allocation'!AE26,AE7*ReturnAfterTax)</f>
        <v/>
      </c>
    </row>
    <row r="21">
      <c r="A21" s="11" t="inlineStr">
        <is>
          <t>Return IRA</t>
        </is>
      </c>
      <c r="B21" s="8">
        <f>IF(UseBlendedReturns="Yes",MAX(0,(B8-B17))*'Risk Allocation'!B27,MAX(0,(B8-B17))*ReturnIRA)</f>
        <v/>
      </c>
      <c r="C21" s="8">
        <f>IF(UseBlendedReturns="Yes",MAX(0,(C8-C17))*'Risk Allocation'!C27,MAX(0,(C8-C17))*ReturnIRA)</f>
        <v/>
      </c>
      <c r="D21" s="8">
        <f>IF(UseBlendedReturns="Yes",MAX(0,(D8-D17))*'Risk Allocation'!D27,MAX(0,(D8-D17))*ReturnIRA)</f>
        <v/>
      </c>
      <c r="E21" s="8">
        <f>IF(UseBlendedReturns="Yes",MAX(0,(E8-E17))*'Risk Allocation'!E27,MAX(0,(E8-E17))*ReturnIRA)</f>
        <v/>
      </c>
      <c r="F21" s="8">
        <f>IF(UseBlendedReturns="Yes",MAX(0,(F8-F17))*'Risk Allocation'!F27,MAX(0,(F8-F17))*ReturnIRA)</f>
        <v/>
      </c>
      <c r="G21" s="8">
        <f>IF(UseBlendedReturns="Yes",MAX(0,(G8-G17))*'Risk Allocation'!G27,MAX(0,(G8-G17))*ReturnIRA)</f>
        <v/>
      </c>
      <c r="H21" s="8">
        <f>IF(UseBlendedReturns="Yes",MAX(0,(H8-H17))*'Risk Allocation'!H27,MAX(0,(H8-H17))*ReturnIRA)</f>
        <v/>
      </c>
      <c r="I21" s="8">
        <f>IF(UseBlendedReturns="Yes",MAX(0,(I8-I17))*'Risk Allocation'!I27,MAX(0,(I8-I17))*ReturnIRA)</f>
        <v/>
      </c>
      <c r="J21" s="8">
        <f>IF(UseBlendedReturns="Yes",MAX(0,(J8-J17))*'Risk Allocation'!J27,MAX(0,(J8-J17))*ReturnIRA)</f>
        <v/>
      </c>
      <c r="K21" s="8">
        <f>IF(UseBlendedReturns="Yes",MAX(0,(K8-K17))*'Risk Allocation'!K27,MAX(0,(K8-K17))*ReturnIRA)</f>
        <v/>
      </c>
      <c r="L21" s="8">
        <f>IF(UseBlendedReturns="Yes",MAX(0,(L8-L17))*'Risk Allocation'!L27,MAX(0,(L8-L17))*ReturnIRA)</f>
        <v/>
      </c>
      <c r="M21" s="8">
        <f>IF(UseBlendedReturns="Yes",MAX(0,(M8-M17))*'Risk Allocation'!M27,MAX(0,(M8-M17))*ReturnIRA)</f>
        <v/>
      </c>
      <c r="N21" s="8">
        <f>IF(UseBlendedReturns="Yes",MAX(0,(N8-N17))*'Risk Allocation'!N27,MAX(0,(N8-N17))*ReturnIRA)</f>
        <v/>
      </c>
      <c r="O21" s="8">
        <f>IF(UseBlendedReturns="Yes",MAX(0,(O8-O17))*'Risk Allocation'!O27,MAX(0,(O8-O17))*ReturnIRA)</f>
        <v/>
      </c>
      <c r="P21" s="8">
        <f>IF(UseBlendedReturns="Yes",MAX(0,(P8-P17))*'Risk Allocation'!P27,MAX(0,(P8-P17))*ReturnIRA)</f>
        <v/>
      </c>
      <c r="Q21" s="8">
        <f>IF(UseBlendedReturns="Yes",MAX(0,(Q8-Q17))*'Risk Allocation'!Q27,MAX(0,(Q8-Q17))*ReturnIRA)</f>
        <v/>
      </c>
      <c r="R21" s="8">
        <f>IF(UseBlendedReturns="Yes",MAX(0,(R8-R17))*'Risk Allocation'!R27,MAX(0,(R8-R17))*ReturnIRA)</f>
        <v/>
      </c>
      <c r="S21" s="8">
        <f>IF(UseBlendedReturns="Yes",MAX(0,(S8-S17))*'Risk Allocation'!S27,MAX(0,(S8-S17))*ReturnIRA)</f>
        <v/>
      </c>
      <c r="T21" s="8">
        <f>IF(UseBlendedReturns="Yes",MAX(0,(T8-T17))*'Risk Allocation'!T27,MAX(0,(T8-T17))*ReturnIRA)</f>
        <v/>
      </c>
      <c r="U21" s="8">
        <f>IF(UseBlendedReturns="Yes",MAX(0,(U8-U17))*'Risk Allocation'!U27,MAX(0,(U8-U17))*ReturnIRA)</f>
        <v/>
      </c>
      <c r="V21" s="8">
        <f>IF(UseBlendedReturns="Yes",MAX(0,(V8-V17))*'Risk Allocation'!V27,MAX(0,(V8-V17))*ReturnIRA)</f>
        <v/>
      </c>
      <c r="W21" s="8">
        <f>IF(UseBlendedReturns="Yes",MAX(0,(W8-W17))*'Risk Allocation'!W27,MAX(0,(W8-W17))*ReturnIRA)</f>
        <v/>
      </c>
      <c r="X21" s="8">
        <f>IF(UseBlendedReturns="Yes",MAX(0,(X8-X17))*'Risk Allocation'!X27,MAX(0,(X8-X17))*ReturnIRA)</f>
        <v/>
      </c>
      <c r="Y21" s="8">
        <f>IF(UseBlendedReturns="Yes",MAX(0,(Y8-Y17))*'Risk Allocation'!Y27,MAX(0,(Y8-Y17))*ReturnIRA)</f>
        <v/>
      </c>
      <c r="Z21" s="8">
        <f>IF(UseBlendedReturns="Yes",MAX(0,(Z8-Z17))*'Risk Allocation'!Z27,MAX(0,(Z8-Z17))*ReturnIRA)</f>
        <v/>
      </c>
      <c r="AA21" s="8">
        <f>IF(UseBlendedReturns="Yes",MAX(0,(AA8-AA17))*'Risk Allocation'!AA27,MAX(0,(AA8-AA17))*ReturnIRA)</f>
        <v/>
      </c>
      <c r="AB21" s="8">
        <f>IF(UseBlendedReturns="Yes",MAX(0,(AB8-AB17))*'Risk Allocation'!AB27,MAX(0,(AB8-AB17))*ReturnIRA)</f>
        <v/>
      </c>
      <c r="AC21" s="8">
        <f>IF(UseBlendedReturns="Yes",MAX(0,(AC8-AC17))*'Risk Allocation'!AC27,MAX(0,(AC8-AC17))*ReturnIRA)</f>
        <v/>
      </c>
      <c r="AD21" s="8">
        <f>IF(UseBlendedReturns="Yes",MAX(0,(AD8-AD17))*'Risk Allocation'!AD27,MAX(0,(AD8-AD17))*ReturnIRA)</f>
        <v/>
      </c>
      <c r="AE21" s="8">
        <f>IF(UseBlendedReturns="Yes",MAX(0,(AE8-AE17))*'Risk Allocation'!AE27,MAX(0,(AE8-AE17))*ReturnIRA)</f>
        <v/>
      </c>
    </row>
    <row r="22">
      <c r="A22" s="11" t="inlineStr">
        <is>
          <t>Return Roth</t>
        </is>
      </c>
      <c r="B22" s="8">
        <f>IF(UseBlendedReturns="Yes",(B9+B17)*'Risk Allocation'!B28,(B9+B17)*ReturnRoth)</f>
        <v/>
      </c>
      <c r="C22" s="8">
        <f>IF(UseBlendedReturns="Yes",(C9+C17)*'Risk Allocation'!C28,(C9+C17)*ReturnRoth)</f>
        <v/>
      </c>
      <c r="D22" s="8">
        <f>IF(UseBlendedReturns="Yes",(D9+D17)*'Risk Allocation'!D28,(D9+D17)*ReturnRoth)</f>
        <v/>
      </c>
      <c r="E22" s="8">
        <f>IF(UseBlendedReturns="Yes",(E9+E17)*'Risk Allocation'!E28,(E9+E17)*ReturnRoth)</f>
        <v/>
      </c>
      <c r="F22" s="8">
        <f>IF(UseBlendedReturns="Yes",(F9+F17)*'Risk Allocation'!F28,(F9+F17)*ReturnRoth)</f>
        <v/>
      </c>
      <c r="G22" s="8">
        <f>IF(UseBlendedReturns="Yes",(G9+G17)*'Risk Allocation'!G28,(G9+G17)*ReturnRoth)</f>
        <v/>
      </c>
      <c r="H22" s="8">
        <f>IF(UseBlendedReturns="Yes",(H9+H17)*'Risk Allocation'!H28,(H9+H17)*ReturnRoth)</f>
        <v/>
      </c>
      <c r="I22" s="8">
        <f>IF(UseBlendedReturns="Yes",(I9+I17)*'Risk Allocation'!I28,(I9+I17)*ReturnRoth)</f>
        <v/>
      </c>
      <c r="J22" s="8">
        <f>IF(UseBlendedReturns="Yes",(J9+J17)*'Risk Allocation'!J28,(J9+J17)*ReturnRoth)</f>
        <v/>
      </c>
      <c r="K22" s="8">
        <f>IF(UseBlendedReturns="Yes",(K9+K17)*'Risk Allocation'!K28,(K9+K17)*ReturnRoth)</f>
        <v/>
      </c>
      <c r="L22" s="8">
        <f>IF(UseBlendedReturns="Yes",(L9+L17)*'Risk Allocation'!L28,(L9+L17)*ReturnRoth)</f>
        <v/>
      </c>
      <c r="M22" s="8">
        <f>IF(UseBlendedReturns="Yes",(M9+M17)*'Risk Allocation'!M28,(M9+M17)*ReturnRoth)</f>
        <v/>
      </c>
      <c r="N22" s="8">
        <f>IF(UseBlendedReturns="Yes",(N9+N17)*'Risk Allocation'!N28,(N9+N17)*ReturnRoth)</f>
        <v/>
      </c>
      <c r="O22" s="8">
        <f>IF(UseBlendedReturns="Yes",(O9+O17)*'Risk Allocation'!O28,(O9+O17)*ReturnRoth)</f>
        <v/>
      </c>
      <c r="P22" s="8">
        <f>IF(UseBlendedReturns="Yes",(P9+P17)*'Risk Allocation'!P28,(P9+P17)*ReturnRoth)</f>
        <v/>
      </c>
      <c r="Q22" s="8">
        <f>IF(UseBlendedReturns="Yes",(Q9+Q17)*'Risk Allocation'!Q28,(Q9+Q17)*ReturnRoth)</f>
        <v/>
      </c>
      <c r="R22" s="8">
        <f>IF(UseBlendedReturns="Yes",(R9+R17)*'Risk Allocation'!R28,(R9+R17)*ReturnRoth)</f>
        <v/>
      </c>
      <c r="S22" s="8">
        <f>IF(UseBlendedReturns="Yes",(S9+S17)*'Risk Allocation'!S28,(S9+S17)*ReturnRoth)</f>
        <v/>
      </c>
      <c r="T22" s="8">
        <f>IF(UseBlendedReturns="Yes",(T9+T17)*'Risk Allocation'!T28,(T9+T17)*ReturnRoth)</f>
        <v/>
      </c>
      <c r="U22" s="8">
        <f>IF(UseBlendedReturns="Yes",(U9+U17)*'Risk Allocation'!U28,(U9+U17)*ReturnRoth)</f>
        <v/>
      </c>
      <c r="V22" s="8">
        <f>IF(UseBlendedReturns="Yes",(V9+V17)*'Risk Allocation'!V28,(V9+V17)*ReturnRoth)</f>
        <v/>
      </c>
      <c r="W22" s="8">
        <f>IF(UseBlendedReturns="Yes",(W9+W17)*'Risk Allocation'!W28,(W9+W17)*ReturnRoth)</f>
        <v/>
      </c>
      <c r="X22" s="8">
        <f>IF(UseBlendedReturns="Yes",(X9+X17)*'Risk Allocation'!X28,(X9+X17)*ReturnRoth)</f>
        <v/>
      </c>
      <c r="Y22" s="8">
        <f>IF(UseBlendedReturns="Yes",(Y9+Y17)*'Risk Allocation'!Y28,(Y9+Y17)*ReturnRoth)</f>
        <v/>
      </c>
      <c r="Z22" s="8">
        <f>IF(UseBlendedReturns="Yes",(Z9+Z17)*'Risk Allocation'!Z28,(Z9+Z17)*ReturnRoth)</f>
        <v/>
      </c>
      <c r="AA22" s="8">
        <f>IF(UseBlendedReturns="Yes",(AA9+AA17)*'Risk Allocation'!AA28,(AA9+AA17)*ReturnRoth)</f>
        <v/>
      </c>
      <c r="AB22" s="8">
        <f>IF(UseBlendedReturns="Yes",(AB9+AB17)*'Risk Allocation'!AB28,(AB9+AB17)*ReturnRoth)</f>
        <v/>
      </c>
      <c r="AC22" s="8">
        <f>IF(UseBlendedReturns="Yes",(AC9+AC17)*'Risk Allocation'!AC28,(AC9+AC17)*ReturnRoth)</f>
        <v/>
      </c>
      <c r="AD22" s="8">
        <f>IF(UseBlendedReturns="Yes",(AD9+AD17)*'Risk Allocation'!AD28,(AD9+AD17)*ReturnRoth)</f>
        <v/>
      </c>
      <c r="AE22" s="8">
        <f>IF(UseBlendedReturns="Yes",(AE9+AE17)*'Risk Allocation'!AE28,(AE9+AE17)*ReturnRoth)</f>
        <v/>
      </c>
    </row>
    <row r="23">
      <c r="A23" t="inlineStr"/>
    </row>
    <row r="24">
      <c r="A24" s="12" t="inlineStr">
        <is>
          <t>IRMAA &amp; TAXES</t>
        </is>
      </c>
    </row>
    <row r="25">
      <c r="A25" s="11" t="inlineStr">
        <is>
          <t>Prior Yr MAGI (est)</t>
        </is>
      </c>
      <c r="B25" s="8">
        <f>MAGI2024</f>
        <v/>
      </c>
      <c r="C25" s="8">
        <f>MAGI2025</f>
        <v/>
      </c>
      <c r="D25" s="8">
        <f>B14+B16+B17+B33+0.85*B13+B32*CapGainsPct</f>
        <v/>
      </c>
      <c r="E25" s="8">
        <f>C14+C16+C17+C33+0.85*C13+C32*CapGainsPct</f>
        <v/>
      </c>
      <c r="F25" s="8">
        <f>D14+D16+D17+D33+0.85*D13+D32*CapGainsPct</f>
        <v/>
      </c>
      <c r="G25" s="8">
        <f>E14+E16+E17+E33+0.85*E13+E32*CapGainsPct</f>
        <v/>
      </c>
      <c r="H25" s="8">
        <f>F14+F16+F17+F33+0.85*F13+F32*CapGainsPct</f>
        <v/>
      </c>
      <c r="I25" s="8">
        <f>G14+G16+G17+G33+0.85*G13+G32*CapGainsPct</f>
        <v/>
      </c>
      <c r="J25" s="8">
        <f>H14+H16+H17+H33+0.85*H13+H32*CapGainsPct</f>
        <v/>
      </c>
      <c r="K25" s="8">
        <f>I14+I16+I17+I33+0.85*I13+I32*CapGainsPct</f>
        <v/>
      </c>
      <c r="L25" s="8">
        <f>J14+J16+J17+J33+0.85*J13+J32*CapGainsPct</f>
        <v/>
      </c>
      <c r="M25" s="8">
        <f>K14+K16+K17+K33+0.85*K13+K32*CapGainsPct</f>
        <v/>
      </c>
      <c r="N25" s="8">
        <f>L14+L16+L17+L33+0.85*L13+L32*CapGainsPct</f>
        <v/>
      </c>
      <c r="O25" s="8">
        <f>M14+M16+M17+M33+0.85*M13+M32*CapGainsPct</f>
        <v/>
      </c>
      <c r="P25" s="8">
        <f>N14+N16+N17+N33+0.85*N13+N32*CapGainsPct</f>
        <v/>
      </c>
      <c r="Q25" s="8">
        <f>O14+O16+O17+O33+0.85*O13+O32*CapGainsPct</f>
        <v/>
      </c>
      <c r="R25" s="8">
        <f>P14+P16+P17+P33+0.85*P13+P32*CapGainsPct</f>
        <v/>
      </c>
      <c r="S25" s="8">
        <f>Q14+Q16+Q17+Q33+0.85*Q13+Q32*CapGainsPct</f>
        <v/>
      </c>
      <c r="T25" s="8">
        <f>R14+R16+R17+R33+0.85*R13+R32*CapGainsPct</f>
        <v/>
      </c>
      <c r="U25" s="8">
        <f>S14+S16+S17+S33+0.85*S13+S32*CapGainsPct</f>
        <v/>
      </c>
      <c r="V25" s="8">
        <f>T14+T16+T17+T33+0.85*T13+T32*CapGainsPct</f>
        <v/>
      </c>
      <c r="W25" s="8">
        <f>U14+U16+U17+U33+0.85*U13+U32*CapGainsPct</f>
        <v/>
      </c>
      <c r="X25" s="8">
        <f>V14+V16+V17+V33+0.85*V13+V32*CapGainsPct</f>
        <v/>
      </c>
      <c r="Y25" s="8">
        <f>W14+W16+W17+W33+0.85*W13+W32*CapGainsPct</f>
        <v/>
      </c>
      <c r="Z25" s="8">
        <f>X14+X16+X17+X33+0.85*X13+X32*CapGainsPct</f>
        <v/>
      </c>
      <c r="AA25" s="8">
        <f>Y14+Y16+Y17+Y33+0.85*Y13+Y32*CapGainsPct</f>
        <v/>
      </c>
      <c r="AB25" s="8">
        <f>Z14+Z16+Z17+Z33+0.85*Z13+Z32*CapGainsPct</f>
        <v/>
      </c>
      <c r="AC25" s="8">
        <f>AA14+AA16+AA17+AA33+0.85*AA13+AA32*CapGainsPct</f>
        <v/>
      </c>
      <c r="AD25" s="8">
        <f>AB14+AB16+AB17+AB33+0.85*AB13+AB32*CapGainsPct</f>
        <v/>
      </c>
      <c r="AE25" s="8">
        <f>AC14+AC16+AC17+AC33+0.85*AC13+AC32*CapGainsPct</f>
        <v/>
      </c>
    </row>
    <row r="26">
      <c r="A26" s="11" t="inlineStr">
        <is>
          <t>IRMAA</t>
        </is>
      </c>
      <c r="B26" s="8">
        <f>IF(B4,IF(B25&lt;=IRMAA_MFJ_Thresh1*(1+TaxBracketInflation)^0,IRMAA_MFJ_Cost1*(1+SSCOLA)^0,IF(B25&lt;=IRMAA_MFJ_Thresh2*(1+TaxBracketInflation)^0,IRMAA_MFJ_Cost2*(1+SSCOLA)^0,IF(B25&lt;=IRMAA_MFJ_Thresh3*(1+TaxBracketInflation)^0,IRMAA_MFJ_Cost3*(1+SSCOLA)^0,IF(B25&lt;=IRMAA_MFJ_Thresh4*(1+TaxBracketInflation)^0,IRMAA_MFJ_Cost4*(1+SSCOLA)^0,IF(B25&lt;=IRMAA_MFJ_Thresh5*(1+TaxBracketInflation)^0,IRMAA_MFJ_Cost5*(1+SSCOLA)^0,IRMAA_MFJ_Cost6*(1+SSCOLA)^0))))),IF(B25&lt;=IRMAA_Single_Thresh1*(1+TaxBracketInflation)^0,IRMAA_Single_Cost1*(1+SSCOLA)^0,IF(B25&lt;=IRMAA_Single_Thresh2*(1+TaxBracketInflation)^0,IRMAA_Single_Cost2*(1+SSCOLA)^0,IF(B25&lt;=IRMAA_Single_Thresh3*(1+TaxBracketInflation)^0,IRMAA_Single_Cost3*(1+SSCOLA)^0,IF(B25&lt;=IRMAA_Single_Thresh4*(1+TaxBracketInflation)^0,IRMAA_Single_Cost4*(1+SSCOLA)^0,IF(B25&lt;=IRMAA_Single_Thresh5*(1+TaxBracketInflation)^0,IRMAA_Single_Cost5*(1+SSCOLA)^0,IRMAA_Single_Cost6*(1+SSCOLA)^0))))))</f>
        <v/>
      </c>
      <c r="C26" s="8">
        <f>IF(C4,IF(C25&lt;=IRMAA_MFJ_Thresh1*(1+TaxBracketInflation)^1,IRMAA_MFJ_Cost1*(1+SSCOLA)^1,IF(C25&lt;=IRMAA_MFJ_Thresh2*(1+TaxBracketInflation)^1,IRMAA_MFJ_Cost2*(1+SSCOLA)^1,IF(C25&lt;=IRMAA_MFJ_Thresh3*(1+TaxBracketInflation)^1,IRMAA_MFJ_Cost3*(1+SSCOLA)^1,IF(C25&lt;=IRMAA_MFJ_Thresh4*(1+TaxBracketInflation)^1,IRMAA_MFJ_Cost4*(1+SSCOLA)^1,IF(C25&lt;=IRMAA_MFJ_Thresh5*(1+TaxBracketInflation)^1,IRMAA_MFJ_Cost5*(1+SSCOLA)^1,IRMAA_MFJ_Cost6*(1+SSCOLA)^1))))),IF(C25&lt;=IRMAA_Single_Thresh1*(1+TaxBracketInflation)^1,IRMAA_Single_Cost1*(1+SSCOLA)^1,IF(C25&lt;=IRMAA_Single_Thresh2*(1+TaxBracketInflation)^1,IRMAA_Single_Cost2*(1+SSCOLA)^1,IF(C25&lt;=IRMAA_Single_Thresh3*(1+TaxBracketInflation)^1,IRMAA_Single_Cost3*(1+SSCOLA)^1,IF(C25&lt;=IRMAA_Single_Thresh4*(1+TaxBracketInflation)^1,IRMAA_Single_Cost4*(1+SSCOLA)^1,IF(C25&lt;=IRMAA_Single_Thresh5*(1+TaxBracketInflation)^1,IRMAA_Single_Cost5*(1+SSCOLA)^1,IRMAA_Single_Cost6*(1+SSCOLA)^1))))))</f>
        <v/>
      </c>
      <c r="D26" s="8">
        <f>IF(D4,IF(D25&lt;=IRMAA_MFJ_Thresh1*(1+TaxBracketInflation)^2,IRMAA_MFJ_Cost1*(1+SSCOLA)^2,IF(D25&lt;=IRMAA_MFJ_Thresh2*(1+TaxBracketInflation)^2,IRMAA_MFJ_Cost2*(1+SSCOLA)^2,IF(D25&lt;=IRMAA_MFJ_Thresh3*(1+TaxBracketInflation)^2,IRMAA_MFJ_Cost3*(1+SSCOLA)^2,IF(D25&lt;=IRMAA_MFJ_Thresh4*(1+TaxBracketInflation)^2,IRMAA_MFJ_Cost4*(1+SSCOLA)^2,IF(D25&lt;=IRMAA_MFJ_Thresh5*(1+TaxBracketInflation)^2,IRMAA_MFJ_Cost5*(1+SSCOLA)^2,IRMAA_MFJ_Cost6*(1+SSCOLA)^2))))),IF(D25&lt;=IRMAA_Single_Thresh1*(1+TaxBracketInflation)^2,IRMAA_Single_Cost1*(1+SSCOLA)^2,IF(D25&lt;=IRMAA_Single_Thresh2*(1+TaxBracketInflation)^2,IRMAA_Single_Cost2*(1+SSCOLA)^2,IF(D25&lt;=IRMAA_Single_Thresh3*(1+TaxBracketInflation)^2,IRMAA_Single_Cost3*(1+SSCOLA)^2,IF(D25&lt;=IRMAA_Single_Thresh4*(1+TaxBracketInflation)^2,IRMAA_Single_Cost4*(1+SSCOLA)^2,IF(D25&lt;=IRMAA_Single_Thresh5*(1+TaxBracketInflation)^2,IRMAA_Single_Cost5*(1+SSCOLA)^2,IRMAA_Single_Cost6*(1+SSCOLA)^2))))))</f>
        <v/>
      </c>
      <c r="E26" s="8">
        <f>IF(E4,IF(E25&lt;=IRMAA_MFJ_Thresh1*(1+TaxBracketInflation)^3,IRMAA_MFJ_Cost1*(1+SSCOLA)^3,IF(E25&lt;=IRMAA_MFJ_Thresh2*(1+TaxBracketInflation)^3,IRMAA_MFJ_Cost2*(1+SSCOLA)^3,IF(E25&lt;=IRMAA_MFJ_Thresh3*(1+TaxBracketInflation)^3,IRMAA_MFJ_Cost3*(1+SSCOLA)^3,IF(E25&lt;=IRMAA_MFJ_Thresh4*(1+TaxBracketInflation)^3,IRMAA_MFJ_Cost4*(1+SSCOLA)^3,IF(E25&lt;=IRMAA_MFJ_Thresh5*(1+TaxBracketInflation)^3,IRMAA_MFJ_Cost5*(1+SSCOLA)^3,IRMAA_MFJ_Cost6*(1+SSCOLA)^3))))),IF(E25&lt;=IRMAA_Single_Thresh1*(1+TaxBracketInflation)^3,IRMAA_Single_Cost1*(1+SSCOLA)^3,IF(E25&lt;=IRMAA_Single_Thresh2*(1+TaxBracketInflation)^3,IRMAA_Single_Cost2*(1+SSCOLA)^3,IF(E25&lt;=IRMAA_Single_Thresh3*(1+TaxBracketInflation)^3,IRMAA_Single_Cost3*(1+SSCOLA)^3,IF(E25&lt;=IRMAA_Single_Thresh4*(1+TaxBracketInflation)^3,IRMAA_Single_Cost4*(1+SSCOLA)^3,IF(E25&lt;=IRMAA_Single_Thresh5*(1+TaxBracketInflation)^3,IRMAA_Single_Cost5*(1+SSCOLA)^3,IRMAA_Single_Cost6*(1+SSCOLA)^3))))))</f>
        <v/>
      </c>
      <c r="F26" s="8">
        <f>IF(F4,IF(F25&lt;=IRMAA_MFJ_Thresh1*(1+TaxBracketInflation)^4,IRMAA_MFJ_Cost1*(1+SSCOLA)^4,IF(F25&lt;=IRMAA_MFJ_Thresh2*(1+TaxBracketInflation)^4,IRMAA_MFJ_Cost2*(1+SSCOLA)^4,IF(F25&lt;=IRMAA_MFJ_Thresh3*(1+TaxBracketInflation)^4,IRMAA_MFJ_Cost3*(1+SSCOLA)^4,IF(F25&lt;=IRMAA_MFJ_Thresh4*(1+TaxBracketInflation)^4,IRMAA_MFJ_Cost4*(1+SSCOLA)^4,IF(F25&lt;=IRMAA_MFJ_Thresh5*(1+TaxBracketInflation)^4,IRMAA_MFJ_Cost5*(1+SSCOLA)^4,IRMAA_MFJ_Cost6*(1+SSCOLA)^4))))),IF(F25&lt;=IRMAA_Single_Thresh1*(1+TaxBracketInflation)^4,IRMAA_Single_Cost1*(1+SSCOLA)^4,IF(F25&lt;=IRMAA_Single_Thresh2*(1+TaxBracketInflation)^4,IRMAA_Single_Cost2*(1+SSCOLA)^4,IF(F25&lt;=IRMAA_Single_Thresh3*(1+TaxBracketInflation)^4,IRMAA_Single_Cost3*(1+SSCOLA)^4,IF(F25&lt;=IRMAA_Single_Thresh4*(1+TaxBracketInflation)^4,IRMAA_Single_Cost4*(1+SSCOLA)^4,IF(F25&lt;=IRMAA_Single_Thresh5*(1+TaxBracketInflation)^4,IRMAA_Single_Cost5*(1+SSCOLA)^4,IRMAA_Single_Cost6*(1+SSCOLA)^4))))))</f>
        <v/>
      </c>
      <c r="G26" s="8">
        <f>IF(G4,IF(G25&lt;=IRMAA_MFJ_Thresh1*(1+TaxBracketInflation)^5,IRMAA_MFJ_Cost1*(1+SSCOLA)^5,IF(G25&lt;=IRMAA_MFJ_Thresh2*(1+TaxBracketInflation)^5,IRMAA_MFJ_Cost2*(1+SSCOLA)^5,IF(G25&lt;=IRMAA_MFJ_Thresh3*(1+TaxBracketInflation)^5,IRMAA_MFJ_Cost3*(1+SSCOLA)^5,IF(G25&lt;=IRMAA_MFJ_Thresh4*(1+TaxBracketInflation)^5,IRMAA_MFJ_Cost4*(1+SSCOLA)^5,IF(G25&lt;=IRMAA_MFJ_Thresh5*(1+TaxBracketInflation)^5,IRMAA_MFJ_Cost5*(1+SSCOLA)^5,IRMAA_MFJ_Cost6*(1+SSCOLA)^5))))),IF(G25&lt;=IRMAA_Single_Thresh1*(1+TaxBracketInflation)^5,IRMAA_Single_Cost1*(1+SSCOLA)^5,IF(G25&lt;=IRMAA_Single_Thresh2*(1+TaxBracketInflation)^5,IRMAA_Single_Cost2*(1+SSCOLA)^5,IF(G25&lt;=IRMAA_Single_Thresh3*(1+TaxBracketInflation)^5,IRMAA_Single_Cost3*(1+SSCOLA)^5,IF(G25&lt;=IRMAA_Single_Thresh4*(1+TaxBracketInflation)^5,IRMAA_Single_Cost4*(1+SSCOLA)^5,IF(G25&lt;=IRMAA_Single_Thresh5*(1+TaxBracketInflation)^5,IRMAA_Single_Cost5*(1+SSCOLA)^5,IRMAA_Single_Cost6*(1+SSCOLA)^5))))))</f>
        <v/>
      </c>
      <c r="H26" s="8">
        <f>IF(H4,IF(H25&lt;=IRMAA_MFJ_Thresh1*(1+TaxBracketInflation)^6,IRMAA_MFJ_Cost1*(1+SSCOLA)^6,IF(H25&lt;=IRMAA_MFJ_Thresh2*(1+TaxBracketInflation)^6,IRMAA_MFJ_Cost2*(1+SSCOLA)^6,IF(H25&lt;=IRMAA_MFJ_Thresh3*(1+TaxBracketInflation)^6,IRMAA_MFJ_Cost3*(1+SSCOLA)^6,IF(H25&lt;=IRMAA_MFJ_Thresh4*(1+TaxBracketInflation)^6,IRMAA_MFJ_Cost4*(1+SSCOLA)^6,IF(H25&lt;=IRMAA_MFJ_Thresh5*(1+TaxBracketInflation)^6,IRMAA_MFJ_Cost5*(1+SSCOLA)^6,IRMAA_MFJ_Cost6*(1+SSCOLA)^6))))),IF(H25&lt;=IRMAA_Single_Thresh1*(1+TaxBracketInflation)^6,IRMAA_Single_Cost1*(1+SSCOLA)^6,IF(H25&lt;=IRMAA_Single_Thresh2*(1+TaxBracketInflation)^6,IRMAA_Single_Cost2*(1+SSCOLA)^6,IF(H25&lt;=IRMAA_Single_Thresh3*(1+TaxBracketInflation)^6,IRMAA_Single_Cost3*(1+SSCOLA)^6,IF(H25&lt;=IRMAA_Single_Thresh4*(1+TaxBracketInflation)^6,IRMAA_Single_Cost4*(1+SSCOLA)^6,IF(H25&lt;=IRMAA_Single_Thresh5*(1+TaxBracketInflation)^6,IRMAA_Single_Cost5*(1+SSCOLA)^6,IRMAA_Single_Cost6*(1+SSCOLA)^6))))))</f>
        <v/>
      </c>
      <c r="I26" s="8">
        <f>IF(I4,IF(I25&lt;=IRMAA_MFJ_Thresh1*(1+TaxBracketInflation)^7,IRMAA_MFJ_Cost1*(1+SSCOLA)^7,IF(I25&lt;=IRMAA_MFJ_Thresh2*(1+TaxBracketInflation)^7,IRMAA_MFJ_Cost2*(1+SSCOLA)^7,IF(I25&lt;=IRMAA_MFJ_Thresh3*(1+TaxBracketInflation)^7,IRMAA_MFJ_Cost3*(1+SSCOLA)^7,IF(I25&lt;=IRMAA_MFJ_Thresh4*(1+TaxBracketInflation)^7,IRMAA_MFJ_Cost4*(1+SSCOLA)^7,IF(I25&lt;=IRMAA_MFJ_Thresh5*(1+TaxBracketInflation)^7,IRMAA_MFJ_Cost5*(1+SSCOLA)^7,IRMAA_MFJ_Cost6*(1+SSCOLA)^7))))),IF(I25&lt;=IRMAA_Single_Thresh1*(1+TaxBracketInflation)^7,IRMAA_Single_Cost1*(1+SSCOLA)^7,IF(I25&lt;=IRMAA_Single_Thresh2*(1+TaxBracketInflation)^7,IRMAA_Single_Cost2*(1+SSCOLA)^7,IF(I25&lt;=IRMAA_Single_Thresh3*(1+TaxBracketInflation)^7,IRMAA_Single_Cost3*(1+SSCOLA)^7,IF(I25&lt;=IRMAA_Single_Thresh4*(1+TaxBracketInflation)^7,IRMAA_Single_Cost4*(1+SSCOLA)^7,IF(I25&lt;=IRMAA_Single_Thresh5*(1+TaxBracketInflation)^7,IRMAA_Single_Cost5*(1+SSCOLA)^7,IRMAA_Single_Cost6*(1+SSCOLA)^7))))))</f>
        <v/>
      </c>
      <c r="J26" s="8">
        <f>IF(J4,IF(J25&lt;=IRMAA_MFJ_Thresh1*(1+TaxBracketInflation)^8,IRMAA_MFJ_Cost1*(1+SSCOLA)^8,IF(J25&lt;=IRMAA_MFJ_Thresh2*(1+TaxBracketInflation)^8,IRMAA_MFJ_Cost2*(1+SSCOLA)^8,IF(J25&lt;=IRMAA_MFJ_Thresh3*(1+TaxBracketInflation)^8,IRMAA_MFJ_Cost3*(1+SSCOLA)^8,IF(J25&lt;=IRMAA_MFJ_Thresh4*(1+TaxBracketInflation)^8,IRMAA_MFJ_Cost4*(1+SSCOLA)^8,IF(J25&lt;=IRMAA_MFJ_Thresh5*(1+TaxBracketInflation)^8,IRMAA_MFJ_Cost5*(1+SSCOLA)^8,IRMAA_MFJ_Cost6*(1+SSCOLA)^8))))),IF(J25&lt;=IRMAA_Single_Thresh1*(1+TaxBracketInflation)^8,IRMAA_Single_Cost1*(1+SSCOLA)^8,IF(J25&lt;=IRMAA_Single_Thresh2*(1+TaxBracketInflation)^8,IRMAA_Single_Cost2*(1+SSCOLA)^8,IF(J25&lt;=IRMAA_Single_Thresh3*(1+TaxBracketInflation)^8,IRMAA_Single_Cost3*(1+SSCOLA)^8,IF(J25&lt;=IRMAA_Single_Thresh4*(1+TaxBracketInflation)^8,IRMAA_Single_Cost4*(1+SSCOLA)^8,IF(J25&lt;=IRMAA_Single_Thresh5*(1+TaxBracketInflation)^8,IRMAA_Single_Cost5*(1+SSCOLA)^8,IRMAA_Single_Cost6*(1+SSCOLA)^8))))))</f>
        <v/>
      </c>
      <c r="K26" s="8">
        <f>IF(K4,IF(K25&lt;=IRMAA_MFJ_Thresh1*(1+TaxBracketInflation)^9,IRMAA_MFJ_Cost1*(1+SSCOLA)^9,IF(K25&lt;=IRMAA_MFJ_Thresh2*(1+TaxBracketInflation)^9,IRMAA_MFJ_Cost2*(1+SSCOLA)^9,IF(K25&lt;=IRMAA_MFJ_Thresh3*(1+TaxBracketInflation)^9,IRMAA_MFJ_Cost3*(1+SSCOLA)^9,IF(K25&lt;=IRMAA_MFJ_Thresh4*(1+TaxBracketInflation)^9,IRMAA_MFJ_Cost4*(1+SSCOLA)^9,IF(K25&lt;=IRMAA_MFJ_Thresh5*(1+TaxBracketInflation)^9,IRMAA_MFJ_Cost5*(1+SSCOLA)^9,IRMAA_MFJ_Cost6*(1+SSCOLA)^9))))),IF(K25&lt;=IRMAA_Single_Thresh1*(1+TaxBracketInflation)^9,IRMAA_Single_Cost1*(1+SSCOLA)^9,IF(K25&lt;=IRMAA_Single_Thresh2*(1+TaxBracketInflation)^9,IRMAA_Single_Cost2*(1+SSCOLA)^9,IF(K25&lt;=IRMAA_Single_Thresh3*(1+TaxBracketInflation)^9,IRMAA_Single_Cost3*(1+SSCOLA)^9,IF(K25&lt;=IRMAA_Single_Thresh4*(1+TaxBracketInflation)^9,IRMAA_Single_Cost4*(1+SSCOLA)^9,IF(K25&lt;=IRMAA_Single_Thresh5*(1+TaxBracketInflation)^9,IRMAA_Single_Cost5*(1+SSCOLA)^9,IRMAA_Single_Cost6*(1+SSCOLA)^9))))))</f>
        <v/>
      </c>
      <c r="L26" s="8">
        <f>IF(L4,IF(L25&lt;=IRMAA_MFJ_Thresh1*(1+TaxBracketInflation)^10,IRMAA_MFJ_Cost1*(1+SSCOLA)^10,IF(L25&lt;=IRMAA_MFJ_Thresh2*(1+TaxBracketInflation)^10,IRMAA_MFJ_Cost2*(1+SSCOLA)^10,IF(L25&lt;=IRMAA_MFJ_Thresh3*(1+TaxBracketInflation)^10,IRMAA_MFJ_Cost3*(1+SSCOLA)^10,IF(L25&lt;=IRMAA_MFJ_Thresh4*(1+TaxBracketInflation)^10,IRMAA_MFJ_Cost4*(1+SSCOLA)^10,IF(L25&lt;=IRMAA_MFJ_Thresh5*(1+TaxBracketInflation)^10,IRMAA_MFJ_Cost5*(1+SSCOLA)^10,IRMAA_MFJ_Cost6*(1+SSCOLA)^10))))),IF(L25&lt;=IRMAA_Single_Thresh1*(1+TaxBracketInflation)^10,IRMAA_Single_Cost1*(1+SSCOLA)^10,IF(L25&lt;=IRMAA_Single_Thresh2*(1+TaxBracketInflation)^10,IRMAA_Single_Cost2*(1+SSCOLA)^10,IF(L25&lt;=IRMAA_Single_Thresh3*(1+TaxBracketInflation)^10,IRMAA_Single_Cost3*(1+SSCOLA)^10,IF(L25&lt;=IRMAA_Single_Thresh4*(1+TaxBracketInflation)^10,IRMAA_Single_Cost4*(1+SSCOLA)^10,IF(L25&lt;=IRMAA_Single_Thresh5*(1+TaxBracketInflation)^10,IRMAA_Single_Cost5*(1+SSCOLA)^10,IRMAA_Single_Cost6*(1+SSCOLA)^10))))))</f>
        <v/>
      </c>
      <c r="M26" s="8">
        <f>IF(M4,IF(M25&lt;=IRMAA_MFJ_Thresh1*(1+TaxBracketInflation)^11,IRMAA_MFJ_Cost1*(1+SSCOLA)^11,IF(M25&lt;=IRMAA_MFJ_Thresh2*(1+TaxBracketInflation)^11,IRMAA_MFJ_Cost2*(1+SSCOLA)^11,IF(M25&lt;=IRMAA_MFJ_Thresh3*(1+TaxBracketInflation)^11,IRMAA_MFJ_Cost3*(1+SSCOLA)^11,IF(M25&lt;=IRMAA_MFJ_Thresh4*(1+TaxBracketInflation)^11,IRMAA_MFJ_Cost4*(1+SSCOLA)^11,IF(M25&lt;=IRMAA_MFJ_Thresh5*(1+TaxBracketInflation)^11,IRMAA_MFJ_Cost5*(1+SSCOLA)^11,IRMAA_MFJ_Cost6*(1+SSCOLA)^11))))),IF(M25&lt;=IRMAA_Single_Thresh1*(1+TaxBracketInflation)^11,IRMAA_Single_Cost1*(1+SSCOLA)^11,IF(M25&lt;=IRMAA_Single_Thresh2*(1+TaxBracketInflation)^11,IRMAA_Single_Cost2*(1+SSCOLA)^11,IF(M25&lt;=IRMAA_Single_Thresh3*(1+TaxBracketInflation)^11,IRMAA_Single_Cost3*(1+SSCOLA)^11,IF(M25&lt;=IRMAA_Single_Thresh4*(1+TaxBracketInflation)^11,IRMAA_Single_Cost4*(1+SSCOLA)^11,IF(M25&lt;=IRMAA_Single_Thresh5*(1+TaxBracketInflation)^11,IRMAA_Single_Cost5*(1+SSCOLA)^11,IRMAA_Single_Cost6*(1+SSCOLA)^11))))))</f>
        <v/>
      </c>
      <c r="N26" s="8">
        <f>IF(N4,IF(N25&lt;=IRMAA_MFJ_Thresh1*(1+TaxBracketInflation)^12,IRMAA_MFJ_Cost1*(1+SSCOLA)^12,IF(N25&lt;=IRMAA_MFJ_Thresh2*(1+TaxBracketInflation)^12,IRMAA_MFJ_Cost2*(1+SSCOLA)^12,IF(N25&lt;=IRMAA_MFJ_Thresh3*(1+TaxBracketInflation)^12,IRMAA_MFJ_Cost3*(1+SSCOLA)^12,IF(N25&lt;=IRMAA_MFJ_Thresh4*(1+TaxBracketInflation)^12,IRMAA_MFJ_Cost4*(1+SSCOLA)^12,IF(N25&lt;=IRMAA_MFJ_Thresh5*(1+TaxBracketInflation)^12,IRMAA_MFJ_Cost5*(1+SSCOLA)^12,IRMAA_MFJ_Cost6*(1+SSCOLA)^12))))),IF(N25&lt;=IRMAA_Single_Thresh1*(1+TaxBracketInflation)^12,IRMAA_Single_Cost1*(1+SSCOLA)^12,IF(N25&lt;=IRMAA_Single_Thresh2*(1+TaxBracketInflation)^12,IRMAA_Single_Cost2*(1+SSCOLA)^12,IF(N25&lt;=IRMAA_Single_Thresh3*(1+TaxBracketInflation)^12,IRMAA_Single_Cost3*(1+SSCOLA)^12,IF(N25&lt;=IRMAA_Single_Thresh4*(1+TaxBracketInflation)^12,IRMAA_Single_Cost4*(1+SSCOLA)^12,IF(N25&lt;=IRMAA_Single_Thresh5*(1+TaxBracketInflation)^12,IRMAA_Single_Cost5*(1+SSCOLA)^12,IRMAA_Single_Cost6*(1+SSCOLA)^12))))))</f>
        <v/>
      </c>
      <c r="O26" s="8">
        <f>IF(O4,IF(O25&lt;=IRMAA_MFJ_Thresh1*(1+TaxBracketInflation)^13,IRMAA_MFJ_Cost1*(1+SSCOLA)^13,IF(O25&lt;=IRMAA_MFJ_Thresh2*(1+TaxBracketInflation)^13,IRMAA_MFJ_Cost2*(1+SSCOLA)^13,IF(O25&lt;=IRMAA_MFJ_Thresh3*(1+TaxBracketInflation)^13,IRMAA_MFJ_Cost3*(1+SSCOLA)^13,IF(O25&lt;=IRMAA_MFJ_Thresh4*(1+TaxBracketInflation)^13,IRMAA_MFJ_Cost4*(1+SSCOLA)^13,IF(O25&lt;=IRMAA_MFJ_Thresh5*(1+TaxBracketInflation)^13,IRMAA_MFJ_Cost5*(1+SSCOLA)^13,IRMAA_MFJ_Cost6*(1+SSCOLA)^13))))),IF(O25&lt;=IRMAA_Single_Thresh1*(1+TaxBracketInflation)^13,IRMAA_Single_Cost1*(1+SSCOLA)^13,IF(O25&lt;=IRMAA_Single_Thresh2*(1+TaxBracketInflation)^13,IRMAA_Single_Cost2*(1+SSCOLA)^13,IF(O25&lt;=IRMAA_Single_Thresh3*(1+TaxBracketInflation)^13,IRMAA_Single_Cost3*(1+SSCOLA)^13,IF(O25&lt;=IRMAA_Single_Thresh4*(1+TaxBracketInflation)^13,IRMAA_Single_Cost4*(1+SSCOLA)^13,IF(O25&lt;=IRMAA_Single_Thresh5*(1+TaxBracketInflation)^13,IRMAA_Single_Cost5*(1+SSCOLA)^13,IRMAA_Single_Cost6*(1+SSCOLA)^13))))))</f>
        <v/>
      </c>
      <c r="P26" s="8">
        <f>IF(P4,IF(P25&lt;=IRMAA_MFJ_Thresh1*(1+TaxBracketInflation)^14,IRMAA_MFJ_Cost1*(1+SSCOLA)^14,IF(P25&lt;=IRMAA_MFJ_Thresh2*(1+TaxBracketInflation)^14,IRMAA_MFJ_Cost2*(1+SSCOLA)^14,IF(P25&lt;=IRMAA_MFJ_Thresh3*(1+TaxBracketInflation)^14,IRMAA_MFJ_Cost3*(1+SSCOLA)^14,IF(P25&lt;=IRMAA_MFJ_Thresh4*(1+TaxBracketInflation)^14,IRMAA_MFJ_Cost4*(1+SSCOLA)^14,IF(P25&lt;=IRMAA_MFJ_Thresh5*(1+TaxBracketInflation)^14,IRMAA_MFJ_Cost5*(1+SSCOLA)^14,IRMAA_MFJ_Cost6*(1+SSCOLA)^14))))),IF(P25&lt;=IRMAA_Single_Thresh1*(1+TaxBracketInflation)^14,IRMAA_Single_Cost1*(1+SSCOLA)^14,IF(P25&lt;=IRMAA_Single_Thresh2*(1+TaxBracketInflation)^14,IRMAA_Single_Cost2*(1+SSCOLA)^14,IF(P25&lt;=IRMAA_Single_Thresh3*(1+TaxBracketInflation)^14,IRMAA_Single_Cost3*(1+SSCOLA)^14,IF(P25&lt;=IRMAA_Single_Thresh4*(1+TaxBracketInflation)^14,IRMAA_Single_Cost4*(1+SSCOLA)^14,IF(P25&lt;=IRMAA_Single_Thresh5*(1+TaxBracketInflation)^14,IRMAA_Single_Cost5*(1+SSCOLA)^14,IRMAA_Single_Cost6*(1+SSCOLA)^14))))))</f>
        <v/>
      </c>
      <c r="Q26" s="8">
        <f>IF(Q4,IF(Q25&lt;=IRMAA_MFJ_Thresh1*(1+TaxBracketInflation)^15,IRMAA_MFJ_Cost1*(1+SSCOLA)^15,IF(Q25&lt;=IRMAA_MFJ_Thresh2*(1+TaxBracketInflation)^15,IRMAA_MFJ_Cost2*(1+SSCOLA)^15,IF(Q25&lt;=IRMAA_MFJ_Thresh3*(1+TaxBracketInflation)^15,IRMAA_MFJ_Cost3*(1+SSCOLA)^15,IF(Q25&lt;=IRMAA_MFJ_Thresh4*(1+TaxBracketInflation)^15,IRMAA_MFJ_Cost4*(1+SSCOLA)^15,IF(Q25&lt;=IRMAA_MFJ_Thresh5*(1+TaxBracketInflation)^15,IRMAA_MFJ_Cost5*(1+SSCOLA)^15,IRMAA_MFJ_Cost6*(1+SSCOLA)^15))))),IF(Q25&lt;=IRMAA_Single_Thresh1*(1+TaxBracketInflation)^15,IRMAA_Single_Cost1*(1+SSCOLA)^15,IF(Q25&lt;=IRMAA_Single_Thresh2*(1+TaxBracketInflation)^15,IRMAA_Single_Cost2*(1+SSCOLA)^15,IF(Q25&lt;=IRMAA_Single_Thresh3*(1+TaxBracketInflation)^15,IRMAA_Single_Cost3*(1+SSCOLA)^15,IF(Q25&lt;=IRMAA_Single_Thresh4*(1+TaxBracketInflation)^15,IRMAA_Single_Cost4*(1+SSCOLA)^15,IF(Q25&lt;=IRMAA_Single_Thresh5*(1+TaxBracketInflation)^15,IRMAA_Single_Cost5*(1+SSCOLA)^15,IRMAA_Single_Cost6*(1+SSCOLA)^15))))))</f>
        <v/>
      </c>
      <c r="R26" s="8">
        <f>IF(R4,IF(R25&lt;=IRMAA_MFJ_Thresh1*(1+TaxBracketInflation)^16,IRMAA_MFJ_Cost1*(1+SSCOLA)^16,IF(R25&lt;=IRMAA_MFJ_Thresh2*(1+TaxBracketInflation)^16,IRMAA_MFJ_Cost2*(1+SSCOLA)^16,IF(R25&lt;=IRMAA_MFJ_Thresh3*(1+TaxBracketInflation)^16,IRMAA_MFJ_Cost3*(1+SSCOLA)^16,IF(R25&lt;=IRMAA_MFJ_Thresh4*(1+TaxBracketInflation)^16,IRMAA_MFJ_Cost4*(1+SSCOLA)^16,IF(R25&lt;=IRMAA_MFJ_Thresh5*(1+TaxBracketInflation)^16,IRMAA_MFJ_Cost5*(1+SSCOLA)^16,IRMAA_MFJ_Cost6*(1+SSCOLA)^16))))),IF(R25&lt;=IRMAA_Single_Thresh1*(1+TaxBracketInflation)^16,IRMAA_Single_Cost1*(1+SSCOLA)^16,IF(R25&lt;=IRMAA_Single_Thresh2*(1+TaxBracketInflation)^16,IRMAA_Single_Cost2*(1+SSCOLA)^16,IF(R25&lt;=IRMAA_Single_Thresh3*(1+TaxBracketInflation)^16,IRMAA_Single_Cost3*(1+SSCOLA)^16,IF(R25&lt;=IRMAA_Single_Thresh4*(1+TaxBracketInflation)^16,IRMAA_Single_Cost4*(1+SSCOLA)^16,IF(R25&lt;=IRMAA_Single_Thresh5*(1+TaxBracketInflation)^16,IRMAA_Single_Cost5*(1+SSCOLA)^16,IRMAA_Single_Cost6*(1+SSCOLA)^16))))))</f>
        <v/>
      </c>
      <c r="S26" s="8">
        <f>IF(S4,IF(S25&lt;=IRMAA_MFJ_Thresh1*(1+TaxBracketInflation)^17,IRMAA_MFJ_Cost1*(1+SSCOLA)^17,IF(S25&lt;=IRMAA_MFJ_Thresh2*(1+TaxBracketInflation)^17,IRMAA_MFJ_Cost2*(1+SSCOLA)^17,IF(S25&lt;=IRMAA_MFJ_Thresh3*(1+TaxBracketInflation)^17,IRMAA_MFJ_Cost3*(1+SSCOLA)^17,IF(S25&lt;=IRMAA_MFJ_Thresh4*(1+TaxBracketInflation)^17,IRMAA_MFJ_Cost4*(1+SSCOLA)^17,IF(S25&lt;=IRMAA_MFJ_Thresh5*(1+TaxBracketInflation)^17,IRMAA_MFJ_Cost5*(1+SSCOLA)^17,IRMAA_MFJ_Cost6*(1+SSCOLA)^17))))),IF(S25&lt;=IRMAA_Single_Thresh1*(1+TaxBracketInflation)^17,IRMAA_Single_Cost1*(1+SSCOLA)^17,IF(S25&lt;=IRMAA_Single_Thresh2*(1+TaxBracketInflation)^17,IRMAA_Single_Cost2*(1+SSCOLA)^17,IF(S25&lt;=IRMAA_Single_Thresh3*(1+TaxBracketInflation)^17,IRMAA_Single_Cost3*(1+SSCOLA)^17,IF(S25&lt;=IRMAA_Single_Thresh4*(1+TaxBracketInflation)^17,IRMAA_Single_Cost4*(1+SSCOLA)^17,IF(S25&lt;=IRMAA_Single_Thresh5*(1+TaxBracketInflation)^17,IRMAA_Single_Cost5*(1+SSCOLA)^17,IRMAA_Single_Cost6*(1+SSCOLA)^17))))))</f>
        <v/>
      </c>
      <c r="T26" s="8">
        <f>IF(T4,IF(T25&lt;=IRMAA_MFJ_Thresh1*(1+TaxBracketInflation)^18,IRMAA_MFJ_Cost1*(1+SSCOLA)^18,IF(T25&lt;=IRMAA_MFJ_Thresh2*(1+TaxBracketInflation)^18,IRMAA_MFJ_Cost2*(1+SSCOLA)^18,IF(T25&lt;=IRMAA_MFJ_Thresh3*(1+TaxBracketInflation)^18,IRMAA_MFJ_Cost3*(1+SSCOLA)^18,IF(T25&lt;=IRMAA_MFJ_Thresh4*(1+TaxBracketInflation)^18,IRMAA_MFJ_Cost4*(1+SSCOLA)^18,IF(T25&lt;=IRMAA_MFJ_Thresh5*(1+TaxBracketInflation)^18,IRMAA_MFJ_Cost5*(1+SSCOLA)^18,IRMAA_MFJ_Cost6*(1+SSCOLA)^18))))),IF(T25&lt;=IRMAA_Single_Thresh1*(1+TaxBracketInflation)^18,IRMAA_Single_Cost1*(1+SSCOLA)^18,IF(T25&lt;=IRMAA_Single_Thresh2*(1+TaxBracketInflation)^18,IRMAA_Single_Cost2*(1+SSCOLA)^18,IF(T25&lt;=IRMAA_Single_Thresh3*(1+TaxBracketInflation)^18,IRMAA_Single_Cost3*(1+SSCOLA)^18,IF(T25&lt;=IRMAA_Single_Thresh4*(1+TaxBracketInflation)^18,IRMAA_Single_Cost4*(1+SSCOLA)^18,IF(T25&lt;=IRMAA_Single_Thresh5*(1+TaxBracketInflation)^18,IRMAA_Single_Cost5*(1+SSCOLA)^18,IRMAA_Single_Cost6*(1+SSCOLA)^18))))))</f>
        <v/>
      </c>
      <c r="U26" s="8">
        <f>IF(U4,IF(U25&lt;=IRMAA_MFJ_Thresh1*(1+TaxBracketInflation)^19,IRMAA_MFJ_Cost1*(1+SSCOLA)^19,IF(U25&lt;=IRMAA_MFJ_Thresh2*(1+TaxBracketInflation)^19,IRMAA_MFJ_Cost2*(1+SSCOLA)^19,IF(U25&lt;=IRMAA_MFJ_Thresh3*(1+TaxBracketInflation)^19,IRMAA_MFJ_Cost3*(1+SSCOLA)^19,IF(U25&lt;=IRMAA_MFJ_Thresh4*(1+TaxBracketInflation)^19,IRMAA_MFJ_Cost4*(1+SSCOLA)^19,IF(U25&lt;=IRMAA_MFJ_Thresh5*(1+TaxBracketInflation)^19,IRMAA_MFJ_Cost5*(1+SSCOLA)^19,IRMAA_MFJ_Cost6*(1+SSCOLA)^19))))),IF(U25&lt;=IRMAA_Single_Thresh1*(1+TaxBracketInflation)^19,IRMAA_Single_Cost1*(1+SSCOLA)^19,IF(U25&lt;=IRMAA_Single_Thresh2*(1+TaxBracketInflation)^19,IRMAA_Single_Cost2*(1+SSCOLA)^19,IF(U25&lt;=IRMAA_Single_Thresh3*(1+TaxBracketInflation)^19,IRMAA_Single_Cost3*(1+SSCOLA)^19,IF(U25&lt;=IRMAA_Single_Thresh4*(1+TaxBracketInflation)^19,IRMAA_Single_Cost4*(1+SSCOLA)^19,IF(U25&lt;=IRMAA_Single_Thresh5*(1+TaxBracketInflation)^19,IRMAA_Single_Cost5*(1+SSCOLA)^19,IRMAA_Single_Cost6*(1+SSCOLA)^19))))))</f>
        <v/>
      </c>
      <c r="V26" s="8">
        <f>IF(V4,IF(V25&lt;=IRMAA_MFJ_Thresh1*(1+TaxBracketInflation)^20,IRMAA_MFJ_Cost1*(1+SSCOLA)^20,IF(V25&lt;=IRMAA_MFJ_Thresh2*(1+TaxBracketInflation)^20,IRMAA_MFJ_Cost2*(1+SSCOLA)^20,IF(V25&lt;=IRMAA_MFJ_Thresh3*(1+TaxBracketInflation)^20,IRMAA_MFJ_Cost3*(1+SSCOLA)^20,IF(V25&lt;=IRMAA_MFJ_Thresh4*(1+TaxBracketInflation)^20,IRMAA_MFJ_Cost4*(1+SSCOLA)^20,IF(V25&lt;=IRMAA_MFJ_Thresh5*(1+TaxBracketInflation)^20,IRMAA_MFJ_Cost5*(1+SSCOLA)^20,IRMAA_MFJ_Cost6*(1+SSCOLA)^20))))),IF(V25&lt;=IRMAA_Single_Thresh1*(1+TaxBracketInflation)^20,IRMAA_Single_Cost1*(1+SSCOLA)^20,IF(V25&lt;=IRMAA_Single_Thresh2*(1+TaxBracketInflation)^20,IRMAA_Single_Cost2*(1+SSCOLA)^20,IF(V25&lt;=IRMAA_Single_Thresh3*(1+TaxBracketInflation)^20,IRMAA_Single_Cost3*(1+SSCOLA)^20,IF(V25&lt;=IRMAA_Single_Thresh4*(1+TaxBracketInflation)^20,IRMAA_Single_Cost4*(1+SSCOLA)^20,IF(V25&lt;=IRMAA_Single_Thresh5*(1+TaxBracketInflation)^20,IRMAA_Single_Cost5*(1+SSCOLA)^20,IRMAA_Single_Cost6*(1+SSCOLA)^20))))))</f>
        <v/>
      </c>
      <c r="W26" s="8">
        <f>IF(W4,IF(W25&lt;=IRMAA_MFJ_Thresh1*(1+TaxBracketInflation)^21,IRMAA_MFJ_Cost1*(1+SSCOLA)^21,IF(W25&lt;=IRMAA_MFJ_Thresh2*(1+TaxBracketInflation)^21,IRMAA_MFJ_Cost2*(1+SSCOLA)^21,IF(W25&lt;=IRMAA_MFJ_Thresh3*(1+TaxBracketInflation)^21,IRMAA_MFJ_Cost3*(1+SSCOLA)^21,IF(W25&lt;=IRMAA_MFJ_Thresh4*(1+TaxBracketInflation)^21,IRMAA_MFJ_Cost4*(1+SSCOLA)^21,IF(W25&lt;=IRMAA_MFJ_Thresh5*(1+TaxBracketInflation)^21,IRMAA_MFJ_Cost5*(1+SSCOLA)^21,IRMAA_MFJ_Cost6*(1+SSCOLA)^21))))),IF(W25&lt;=IRMAA_Single_Thresh1*(1+TaxBracketInflation)^21,IRMAA_Single_Cost1*(1+SSCOLA)^21,IF(W25&lt;=IRMAA_Single_Thresh2*(1+TaxBracketInflation)^21,IRMAA_Single_Cost2*(1+SSCOLA)^21,IF(W25&lt;=IRMAA_Single_Thresh3*(1+TaxBracketInflation)^21,IRMAA_Single_Cost3*(1+SSCOLA)^21,IF(W25&lt;=IRMAA_Single_Thresh4*(1+TaxBracketInflation)^21,IRMAA_Single_Cost4*(1+SSCOLA)^21,IF(W25&lt;=IRMAA_Single_Thresh5*(1+TaxBracketInflation)^21,IRMAA_Single_Cost5*(1+SSCOLA)^21,IRMAA_Single_Cost6*(1+SSCOLA)^21))))))</f>
        <v/>
      </c>
      <c r="X26" s="8">
        <f>IF(X4,IF(X25&lt;=IRMAA_MFJ_Thresh1*(1+TaxBracketInflation)^22,IRMAA_MFJ_Cost1*(1+SSCOLA)^22,IF(X25&lt;=IRMAA_MFJ_Thresh2*(1+TaxBracketInflation)^22,IRMAA_MFJ_Cost2*(1+SSCOLA)^22,IF(X25&lt;=IRMAA_MFJ_Thresh3*(1+TaxBracketInflation)^22,IRMAA_MFJ_Cost3*(1+SSCOLA)^22,IF(X25&lt;=IRMAA_MFJ_Thresh4*(1+TaxBracketInflation)^22,IRMAA_MFJ_Cost4*(1+SSCOLA)^22,IF(X25&lt;=IRMAA_MFJ_Thresh5*(1+TaxBracketInflation)^22,IRMAA_MFJ_Cost5*(1+SSCOLA)^22,IRMAA_MFJ_Cost6*(1+SSCOLA)^22))))),IF(X25&lt;=IRMAA_Single_Thresh1*(1+TaxBracketInflation)^22,IRMAA_Single_Cost1*(1+SSCOLA)^22,IF(X25&lt;=IRMAA_Single_Thresh2*(1+TaxBracketInflation)^22,IRMAA_Single_Cost2*(1+SSCOLA)^22,IF(X25&lt;=IRMAA_Single_Thresh3*(1+TaxBracketInflation)^22,IRMAA_Single_Cost3*(1+SSCOLA)^22,IF(X25&lt;=IRMAA_Single_Thresh4*(1+TaxBracketInflation)^22,IRMAA_Single_Cost4*(1+SSCOLA)^22,IF(X25&lt;=IRMAA_Single_Thresh5*(1+TaxBracketInflation)^22,IRMAA_Single_Cost5*(1+SSCOLA)^22,IRMAA_Single_Cost6*(1+SSCOLA)^22))))))</f>
        <v/>
      </c>
      <c r="Y26" s="8">
        <f>IF(Y4,IF(Y25&lt;=IRMAA_MFJ_Thresh1*(1+TaxBracketInflation)^23,IRMAA_MFJ_Cost1*(1+SSCOLA)^23,IF(Y25&lt;=IRMAA_MFJ_Thresh2*(1+TaxBracketInflation)^23,IRMAA_MFJ_Cost2*(1+SSCOLA)^23,IF(Y25&lt;=IRMAA_MFJ_Thresh3*(1+TaxBracketInflation)^23,IRMAA_MFJ_Cost3*(1+SSCOLA)^23,IF(Y25&lt;=IRMAA_MFJ_Thresh4*(1+TaxBracketInflation)^23,IRMAA_MFJ_Cost4*(1+SSCOLA)^23,IF(Y25&lt;=IRMAA_MFJ_Thresh5*(1+TaxBracketInflation)^23,IRMAA_MFJ_Cost5*(1+SSCOLA)^23,IRMAA_MFJ_Cost6*(1+SSCOLA)^23))))),IF(Y25&lt;=IRMAA_Single_Thresh1*(1+TaxBracketInflation)^23,IRMAA_Single_Cost1*(1+SSCOLA)^23,IF(Y25&lt;=IRMAA_Single_Thresh2*(1+TaxBracketInflation)^23,IRMAA_Single_Cost2*(1+SSCOLA)^23,IF(Y25&lt;=IRMAA_Single_Thresh3*(1+TaxBracketInflation)^23,IRMAA_Single_Cost3*(1+SSCOLA)^23,IF(Y25&lt;=IRMAA_Single_Thresh4*(1+TaxBracketInflation)^23,IRMAA_Single_Cost4*(1+SSCOLA)^23,IF(Y25&lt;=IRMAA_Single_Thresh5*(1+TaxBracketInflation)^23,IRMAA_Single_Cost5*(1+SSCOLA)^23,IRMAA_Single_Cost6*(1+SSCOLA)^23))))))</f>
        <v/>
      </c>
      <c r="Z26" s="8">
        <f>IF(Z4,IF(Z25&lt;=IRMAA_MFJ_Thresh1*(1+TaxBracketInflation)^24,IRMAA_MFJ_Cost1*(1+SSCOLA)^24,IF(Z25&lt;=IRMAA_MFJ_Thresh2*(1+TaxBracketInflation)^24,IRMAA_MFJ_Cost2*(1+SSCOLA)^24,IF(Z25&lt;=IRMAA_MFJ_Thresh3*(1+TaxBracketInflation)^24,IRMAA_MFJ_Cost3*(1+SSCOLA)^24,IF(Z25&lt;=IRMAA_MFJ_Thresh4*(1+TaxBracketInflation)^24,IRMAA_MFJ_Cost4*(1+SSCOLA)^24,IF(Z25&lt;=IRMAA_MFJ_Thresh5*(1+TaxBracketInflation)^24,IRMAA_MFJ_Cost5*(1+SSCOLA)^24,IRMAA_MFJ_Cost6*(1+SSCOLA)^24))))),IF(Z25&lt;=IRMAA_Single_Thresh1*(1+TaxBracketInflation)^24,IRMAA_Single_Cost1*(1+SSCOLA)^24,IF(Z25&lt;=IRMAA_Single_Thresh2*(1+TaxBracketInflation)^24,IRMAA_Single_Cost2*(1+SSCOLA)^24,IF(Z25&lt;=IRMAA_Single_Thresh3*(1+TaxBracketInflation)^24,IRMAA_Single_Cost3*(1+SSCOLA)^24,IF(Z25&lt;=IRMAA_Single_Thresh4*(1+TaxBracketInflation)^24,IRMAA_Single_Cost4*(1+SSCOLA)^24,IF(Z25&lt;=IRMAA_Single_Thresh5*(1+TaxBracketInflation)^24,IRMAA_Single_Cost5*(1+SSCOLA)^24,IRMAA_Single_Cost6*(1+SSCOLA)^24))))))</f>
        <v/>
      </c>
      <c r="AA26" s="8">
        <f>IF(AA4,IF(AA25&lt;=IRMAA_MFJ_Thresh1*(1+TaxBracketInflation)^25,IRMAA_MFJ_Cost1*(1+SSCOLA)^25,IF(AA25&lt;=IRMAA_MFJ_Thresh2*(1+TaxBracketInflation)^25,IRMAA_MFJ_Cost2*(1+SSCOLA)^25,IF(AA25&lt;=IRMAA_MFJ_Thresh3*(1+TaxBracketInflation)^25,IRMAA_MFJ_Cost3*(1+SSCOLA)^25,IF(AA25&lt;=IRMAA_MFJ_Thresh4*(1+TaxBracketInflation)^25,IRMAA_MFJ_Cost4*(1+SSCOLA)^25,IF(AA25&lt;=IRMAA_MFJ_Thresh5*(1+TaxBracketInflation)^25,IRMAA_MFJ_Cost5*(1+SSCOLA)^25,IRMAA_MFJ_Cost6*(1+SSCOLA)^25))))),IF(AA25&lt;=IRMAA_Single_Thresh1*(1+TaxBracketInflation)^25,IRMAA_Single_Cost1*(1+SSCOLA)^25,IF(AA25&lt;=IRMAA_Single_Thresh2*(1+TaxBracketInflation)^25,IRMAA_Single_Cost2*(1+SSCOLA)^25,IF(AA25&lt;=IRMAA_Single_Thresh3*(1+TaxBracketInflation)^25,IRMAA_Single_Cost3*(1+SSCOLA)^25,IF(AA25&lt;=IRMAA_Single_Thresh4*(1+TaxBracketInflation)^25,IRMAA_Single_Cost4*(1+SSCOLA)^25,IF(AA25&lt;=IRMAA_Single_Thresh5*(1+TaxBracketInflation)^25,IRMAA_Single_Cost5*(1+SSCOLA)^25,IRMAA_Single_Cost6*(1+SSCOLA)^25))))))</f>
        <v/>
      </c>
      <c r="AB26" s="8">
        <f>IF(AB4,IF(AB25&lt;=IRMAA_MFJ_Thresh1*(1+TaxBracketInflation)^26,IRMAA_MFJ_Cost1*(1+SSCOLA)^26,IF(AB25&lt;=IRMAA_MFJ_Thresh2*(1+TaxBracketInflation)^26,IRMAA_MFJ_Cost2*(1+SSCOLA)^26,IF(AB25&lt;=IRMAA_MFJ_Thresh3*(1+TaxBracketInflation)^26,IRMAA_MFJ_Cost3*(1+SSCOLA)^26,IF(AB25&lt;=IRMAA_MFJ_Thresh4*(1+TaxBracketInflation)^26,IRMAA_MFJ_Cost4*(1+SSCOLA)^26,IF(AB25&lt;=IRMAA_MFJ_Thresh5*(1+TaxBracketInflation)^26,IRMAA_MFJ_Cost5*(1+SSCOLA)^26,IRMAA_MFJ_Cost6*(1+SSCOLA)^26))))),IF(AB25&lt;=IRMAA_Single_Thresh1*(1+TaxBracketInflation)^26,IRMAA_Single_Cost1*(1+SSCOLA)^26,IF(AB25&lt;=IRMAA_Single_Thresh2*(1+TaxBracketInflation)^26,IRMAA_Single_Cost2*(1+SSCOLA)^26,IF(AB25&lt;=IRMAA_Single_Thresh3*(1+TaxBracketInflation)^26,IRMAA_Single_Cost3*(1+SSCOLA)^26,IF(AB25&lt;=IRMAA_Single_Thresh4*(1+TaxBracketInflation)^26,IRMAA_Single_Cost4*(1+SSCOLA)^26,IF(AB25&lt;=IRMAA_Single_Thresh5*(1+TaxBracketInflation)^26,IRMAA_Single_Cost5*(1+SSCOLA)^26,IRMAA_Single_Cost6*(1+SSCOLA)^26))))))</f>
        <v/>
      </c>
      <c r="AC26" s="8">
        <f>IF(AC4,IF(AC25&lt;=IRMAA_MFJ_Thresh1*(1+TaxBracketInflation)^27,IRMAA_MFJ_Cost1*(1+SSCOLA)^27,IF(AC25&lt;=IRMAA_MFJ_Thresh2*(1+TaxBracketInflation)^27,IRMAA_MFJ_Cost2*(1+SSCOLA)^27,IF(AC25&lt;=IRMAA_MFJ_Thresh3*(1+TaxBracketInflation)^27,IRMAA_MFJ_Cost3*(1+SSCOLA)^27,IF(AC25&lt;=IRMAA_MFJ_Thresh4*(1+TaxBracketInflation)^27,IRMAA_MFJ_Cost4*(1+SSCOLA)^27,IF(AC25&lt;=IRMAA_MFJ_Thresh5*(1+TaxBracketInflation)^27,IRMAA_MFJ_Cost5*(1+SSCOLA)^27,IRMAA_MFJ_Cost6*(1+SSCOLA)^27))))),IF(AC25&lt;=IRMAA_Single_Thresh1*(1+TaxBracketInflation)^27,IRMAA_Single_Cost1*(1+SSCOLA)^27,IF(AC25&lt;=IRMAA_Single_Thresh2*(1+TaxBracketInflation)^27,IRMAA_Single_Cost2*(1+SSCOLA)^27,IF(AC25&lt;=IRMAA_Single_Thresh3*(1+TaxBracketInflation)^27,IRMAA_Single_Cost3*(1+SSCOLA)^27,IF(AC25&lt;=IRMAA_Single_Thresh4*(1+TaxBracketInflation)^27,IRMAA_Single_Cost4*(1+SSCOLA)^27,IF(AC25&lt;=IRMAA_Single_Thresh5*(1+TaxBracketInflation)^27,IRMAA_Single_Cost5*(1+SSCOLA)^27,IRMAA_Single_Cost6*(1+SSCOLA)^27))))))</f>
        <v/>
      </c>
      <c r="AD26" s="8">
        <f>IF(AD4,IF(AD25&lt;=IRMAA_MFJ_Thresh1*(1+TaxBracketInflation)^28,IRMAA_MFJ_Cost1*(1+SSCOLA)^28,IF(AD25&lt;=IRMAA_MFJ_Thresh2*(1+TaxBracketInflation)^28,IRMAA_MFJ_Cost2*(1+SSCOLA)^28,IF(AD25&lt;=IRMAA_MFJ_Thresh3*(1+TaxBracketInflation)^28,IRMAA_MFJ_Cost3*(1+SSCOLA)^28,IF(AD25&lt;=IRMAA_MFJ_Thresh4*(1+TaxBracketInflation)^28,IRMAA_MFJ_Cost4*(1+SSCOLA)^28,IF(AD25&lt;=IRMAA_MFJ_Thresh5*(1+TaxBracketInflation)^28,IRMAA_MFJ_Cost5*(1+SSCOLA)^28,IRMAA_MFJ_Cost6*(1+SSCOLA)^28))))),IF(AD25&lt;=IRMAA_Single_Thresh1*(1+TaxBracketInflation)^28,IRMAA_Single_Cost1*(1+SSCOLA)^28,IF(AD25&lt;=IRMAA_Single_Thresh2*(1+TaxBracketInflation)^28,IRMAA_Single_Cost2*(1+SSCOLA)^28,IF(AD25&lt;=IRMAA_Single_Thresh3*(1+TaxBracketInflation)^28,IRMAA_Single_Cost3*(1+SSCOLA)^28,IF(AD25&lt;=IRMAA_Single_Thresh4*(1+TaxBracketInflation)^28,IRMAA_Single_Cost4*(1+SSCOLA)^28,IF(AD25&lt;=IRMAA_Single_Thresh5*(1+TaxBracketInflation)^28,IRMAA_Single_Cost5*(1+SSCOLA)^28,IRMAA_Single_Cost6*(1+SSCOLA)^28))))))</f>
        <v/>
      </c>
      <c r="AE26" s="8">
        <f>IF(AE4,IF(AE25&lt;=IRMAA_MFJ_Thresh1*(1+TaxBracketInflation)^29,IRMAA_MFJ_Cost1*(1+SSCOLA)^29,IF(AE25&lt;=IRMAA_MFJ_Thresh2*(1+TaxBracketInflation)^29,IRMAA_MFJ_Cost2*(1+SSCOLA)^29,IF(AE25&lt;=IRMAA_MFJ_Thresh3*(1+TaxBracketInflation)^29,IRMAA_MFJ_Cost3*(1+SSCOLA)^29,IF(AE25&lt;=IRMAA_MFJ_Thresh4*(1+TaxBracketInflation)^29,IRMAA_MFJ_Cost4*(1+SSCOLA)^29,IF(AE25&lt;=IRMAA_MFJ_Thresh5*(1+TaxBracketInflation)^29,IRMAA_MFJ_Cost5*(1+SSCOLA)^29,IRMAA_MFJ_Cost6*(1+SSCOLA)^29))))),IF(AE25&lt;=IRMAA_Single_Thresh1*(1+TaxBracketInflation)^29,IRMAA_Single_Cost1*(1+SSCOLA)^29,IF(AE25&lt;=IRMAA_Single_Thresh2*(1+TaxBracketInflation)^29,IRMAA_Single_Cost2*(1+SSCOLA)^29,IF(AE25&lt;=IRMAA_Single_Thresh3*(1+TaxBracketInflation)^29,IRMAA_Single_Cost3*(1+SSCOLA)^29,IF(AE25&lt;=IRMAA_Single_Thresh4*(1+TaxBracketInflation)^29,IRMAA_Single_Cost4*(1+SSCOLA)^29,IF(AE25&lt;=IRMAA_Single_Thresh5*(1+TaxBracketInflation)^29,IRMAA_Single_Cost5*(1+SSCOLA)^29,IRMAA_Single_Cost6*(1+SSCOLA)^29))))))</f>
        <v/>
      </c>
    </row>
    <row r="27">
      <c r="A27" s="11" t="inlineStr">
        <is>
          <t>Est Tax</t>
        </is>
      </c>
      <c r="B27" s="8">
        <f>(MAX(0,B14+B16+B17+0.85*B13-(IF(B4,StdDeduction,StdDeductionSingle))*(1+TaxBracketInflation)^0))*0.22+(MAX(0,(MIN(MAX(0,B15+B26-B13-B14),(B7*(1+ReturnAfterTax)+B16)))*CapGainsPct-MAX(0,(IF(B4,94050,47025))*(1+TaxBracketInflation)^0-MAX(0,B14+B16+B17+0.85*B13-(IF(B4,StdDeduction,StdDeductionSingle))*(1+TaxBracketInflation)^0))))*0.15+0.038*MIN((MIN(MAX(0,B15+B26-B13-B14),(B7*(1+ReturnAfterTax)+B16)))*CapGainsPct,MAX(0,(B14+B16+B17+0.85*B13+(MIN(MAX(0,B15+B26-B13-B14),(B7*(1+ReturnAfterTax)+B16)))*CapGainsPct)-(IF(B4,NIITThreshold,NIITThresholdSingle))*(1+TaxBracketInflation)^0))+(B14+(MIN(MAX(0,B15+B26-B13-B14),(B7*(1+ReturnAfterTax)+B16)))*CapGainsPct)*ILTaxRate</f>
        <v/>
      </c>
      <c r="C27" s="8">
        <f>(MAX(0,C14+C16+C17+0.85*C13-(IF(C4,StdDeduction,StdDeductionSingle))*(1+TaxBracketInflation)^1))*0.22+(MAX(0,(MIN(MAX(0,C15+C26-C13-C14),(C7*(1+ReturnAfterTax)+C16)))*CapGainsPct-MAX(0,(IF(C4,94050,47025))*(1+TaxBracketInflation)^1-MAX(0,C14+C16+C17+0.85*C13-(IF(C4,StdDeduction,StdDeductionSingle))*(1+TaxBracketInflation)^1))))*0.15+0.038*MIN((MIN(MAX(0,C15+C26-C13-C14),(C7*(1+ReturnAfterTax)+C16)))*CapGainsPct,MAX(0,(C14+C16+C17+0.85*C13+(MIN(MAX(0,C15+C26-C13-C14),(C7*(1+ReturnAfterTax)+C16)))*CapGainsPct)-(IF(C4,NIITThreshold,NIITThresholdSingle))*(1+TaxBracketInflation)^1))+(C14+(MIN(MAX(0,C15+C26-C13-C14),(C7*(1+ReturnAfterTax)+C16)))*CapGainsPct)*ILTaxRate</f>
        <v/>
      </c>
      <c r="D27" s="8">
        <f>(MAX(0,D14+D16+D17+0.85*D13-(IF(D4,StdDeduction,StdDeductionSingle))*(1+TaxBracketInflation)^2))*0.22+(MAX(0,(MIN(MAX(0,D15+D26-D13-D14),(D7*(1+ReturnAfterTax)+D16)))*CapGainsPct-MAX(0,(IF(D4,94050,47025))*(1+TaxBracketInflation)^2-MAX(0,D14+D16+D17+0.85*D13-(IF(D4,StdDeduction,StdDeductionSingle))*(1+TaxBracketInflation)^2))))*0.15+0.038*MIN((MIN(MAX(0,D15+D26-D13-D14),(D7*(1+ReturnAfterTax)+D16)))*CapGainsPct,MAX(0,(D14+D16+D17+0.85*D13+(MIN(MAX(0,D15+D26-D13-D14),(D7*(1+ReturnAfterTax)+D16)))*CapGainsPct)-(IF(D4,NIITThreshold,NIITThresholdSingle))*(1+TaxBracketInflation)^2))+(D14+(MIN(MAX(0,D15+D26-D13-D14),(D7*(1+ReturnAfterTax)+D16)))*CapGainsPct)*ILTaxRate</f>
        <v/>
      </c>
      <c r="E27" s="8">
        <f>(MAX(0,E14+E16+E17+0.85*E13-(IF(E4,StdDeduction,StdDeductionSingle))*(1+TaxBracketInflation)^3))*0.22+(MAX(0,(MIN(MAX(0,E15+E26-E13-E14),(E7*(1+ReturnAfterTax)+E16)))*CapGainsPct-MAX(0,(IF(E4,94050,47025))*(1+TaxBracketInflation)^3-MAX(0,E14+E16+E17+0.85*E13-(IF(E4,StdDeduction,StdDeductionSingle))*(1+TaxBracketInflation)^3))))*0.15+0.038*MIN((MIN(MAX(0,E15+E26-E13-E14),(E7*(1+ReturnAfterTax)+E16)))*CapGainsPct,MAX(0,(E14+E16+E17+0.85*E13+(MIN(MAX(0,E15+E26-E13-E14),(E7*(1+ReturnAfterTax)+E16)))*CapGainsPct)-(IF(E4,NIITThreshold,NIITThresholdSingle))*(1+TaxBracketInflation)^3))+(E14+(MIN(MAX(0,E15+E26-E13-E14),(E7*(1+ReturnAfterTax)+E16)))*CapGainsPct)*ILTaxRate</f>
        <v/>
      </c>
      <c r="F27" s="8">
        <f>(MAX(0,F14+F16+F17+0.85*F13-(IF(F4,StdDeduction,StdDeductionSingle))*(1+TaxBracketInflation)^4))*0.22+(MAX(0,(MIN(MAX(0,F15+F26-F13-F14),(F7*(1+ReturnAfterTax)+F16)))*CapGainsPct-MAX(0,(IF(F4,94050,47025))*(1+TaxBracketInflation)^4-MAX(0,F14+F16+F17+0.85*F13-(IF(F4,StdDeduction,StdDeductionSingle))*(1+TaxBracketInflation)^4))))*0.15+0.038*MIN((MIN(MAX(0,F15+F26-F13-F14),(F7*(1+ReturnAfterTax)+F16)))*CapGainsPct,MAX(0,(F14+F16+F17+0.85*F13+(MIN(MAX(0,F15+F26-F13-F14),(F7*(1+ReturnAfterTax)+F16)))*CapGainsPct)-(IF(F4,NIITThreshold,NIITThresholdSingle))*(1+TaxBracketInflation)^4))+(F14+(MIN(MAX(0,F15+F26-F13-F14),(F7*(1+ReturnAfterTax)+F16)))*CapGainsPct)*ILTaxRate</f>
        <v/>
      </c>
      <c r="G27" s="8">
        <f>(MAX(0,G14+G16+G17+0.85*G13-(IF(G4,StdDeduction,StdDeductionSingle))*(1+TaxBracketInflation)^5))*0.22+(MAX(0,(MIN(MAX(0,G15+G26-G13-G14),(G7*(1+ReturnAfterTax)+G16)))*CapGainsPct-MAX(0,(IF(G4,94050,47025))*(1+TaxBracketInflation)^5-MAX(0,G14+G16+G17+0.85*G13-(IF(G4,StdDeduction,StdDeductionSingle))*(1+TaxBracketInflation)^5))))*0.15+0.038*MIN((MIN(MAX(0,G15+G26-G13-G14),(G7*(1+ReturnAfterTax)+G16)))*CapGainsPct,MAX(0,(G14+G16+G17+0.85*G13+(MIN(MAX(0,G15+G26-G13-G14),(G7*(1+ReturnAfterTax)+G16)))*CapGainsPct)-(IF(G4,NIITThreshold,NIITThresholdSingle))*(1+TaxBracketInflation)^5))+(G14+(MIN(MAX(0,G15+G26-G13-G14),(G7*(1+ReturnAfterTax)+G16)))*CapGainsPct)*ILTaxRate</f>
        <v/>
      </c>
      <c r="H27" s="8">
        <f>(MAX(0,H14+H16+H17+0.85*H13-(IF(H4,StdDeduction,StdDeductionSingle))*(1+TaxBracketInflation)^6))*0.22+(MAX(0,(MIN(MAX(0,H15+H26-H13-H14),(H7*(1+ReturnAfterTax)+H16)))*CapGainsPct-MAX(0,(IF(H4,94050,47025))*(1+TaxBracketInflation)^6-MAX(0,H14+H16+H17+0.85*H13-(IF(H4,StdDeduction,StdDeductionSingle))*(1+TaxBracketInflation)^6))))*0.15+0.038*MIN((MIN(MAX(0,H15+H26-H13-H14),(H7*(1+ReturnAfterTax)+H16)))*CapGainsPct,MAX(0,(H14+H16+H17+0.85*H13+(MIN(MAX(0,H15+H26-H13-H14),(H7*(1+ReturnAfterTax)+H16)))*CapGainsPct)-(IF(H4,NIITThreshold,NIITThresholdSingle))*(1+TaxBracketInflation)^6))+(H14+(MIN(MAX(0,H15+H26-H13-H14),(H7*(1+ReturnAfterTax)+H16)))*CapGainsPct)*ILTaxRate</f>
        <v/>
      </c>
      <c r="I27" s="8">
        <f>(MAX(0,I14+I16+I17+0.85*I13-(IF(I4,StdDeduction,StdDeductionSingle))*(1+TaxBracketInflation)^7))*0.22+(MAX(0,(MIN(MAX(0,I15+I26-I13-I14),(I7*(1+ReturnAfterTax)+I16)))*CapGainsPct-MAX(0,(IF(I4,94050,47025))*(1+TaxBracketInflation)^7-MAX(0,I14+I16+I17+0.85*I13-(IF(I4,StdDeduction,StdDeductionSingle))*(1+TaxBracketInflation)^7))))*0.15+0.038*MIN((MIN(MAX(0,I15+I26-I13-I14),(I7*(1+ReturnAfterTax)+I16)))*CapGainsPct,MAX(0,(I14+I16+I17+0.85*I13+(MIN(MAX(0,I15+I26-I13-I14),(I7*(1+ReturnAfterTax)+I16)))*CapGainsPct)-(IF(I4,NIITThreshold,NIITThresholdSingle))*(1+TaxBracketInflation)^7))+(I14+(MIN(MAX(0,I15+I26-I13-I14),(I7*(1+ReturnAfterTax)+I16)))*CapGainsPct)*ILTaxRate</f>
        <v/>
      </c>
      <c r="J27" s="8">
        <f>(MAX(0,J14+J16+J17+0.85*J13-(IF(J4,StdDeduction,StdDeductionSingle))*(1+TaxBracketInflation)^8))*0.22+(MAX(0,(MIN(MAX(0,J15+J26-J13-J14),(J7*(1+ReturnAfterTax)+J16)))*CapGainsPct-MAX(0,(IF(J4,94050,47025))*(1+TaxBracketInflation)^8-MAX(0,J14+J16+J17+0.85*J13-(IF(J4,StdDeduction,StdDeductionSingle))*(1+TaxBracketInflation)^8))))*0.15+0.038*MIN((MIN(MAX(0,J15+J26-J13-J14),(J7*(1+ReturnAfterTax)+J16)))*CapGainsPct,MAX(0,(J14+J16+J17+0.85*J13+(MIN(MAX(0,J15+J26-J13-J14),(J7*(1+ReturnAfterTax)+J16)))*CapGainsPct)-(IF(J4,NIITThreshold,NIITThresholdSingle))*(1+TaxBracketInflation)^8))+(J14+(MIN(MAX(0,J15+J26-J13-J14),(J7*(1+ReturnAfterTax)+J16)))*CapGainsPct)*ILTaxRate</f>
        <v/>
      </c>
      <c r="K27" s="8">
        <f>(MAX(0,K14+K16+K17+0.85*K13-(IF(K4,StdDeduction,StdDeductionSingle))*(1+TaxBracketInflation)^9))*0.22+(MAX(0,(MIN(MAX(0,K15+K26-K13-K14),(K7*(1+ReturnAfterTax)+K16)))*CapGainsPct-MAX(0,(IF(K4,94050,47025))*(1+TaxBracketInflation)^9-MAX(0,K14+K16+K17+0.85*K13-(IF(K4,StdDeduction,StdDeductionSingle))*(1+TaxBracketInflation)^9))))*0.15+0.038*MIN((MIN(MAX(0,K15+K26-K13-K14),(K7*(1+ReturnAfterTax)+K16)))*CapGainsPct,MAX(0,(K14+K16+K17+0.85*K13+(MIN(MAX(0,K15+K26-K13-K14),(K7*(1+ReturnAfterTax)+K16)))*CapGainsPct)-(IF(K4,NIITThreshold,NIITThresholdSingle))*(1+TaxBracketInflation)^9))+(K14+(MIN(MAX(0,K15+K26-K13-K14),(K7*(1+ReturnAfterTax)+K16)))*CapGainsPct)*ILTaxRate</f>
        <v/>
      </c>
      <c r="L27" s="8">
        <f>(MAX(0,L14+L16+L17+0.85*L13-(IF(L4,StdDeduction,StdDeductionSingle))*(1+TaxBracketInflation)^10))*0.22+(MAX(0,(MIN(MAX(0,L15+L26-L13-L14),(L7*(1+ReturnAfterTax)+L16)))*CapGainsPct-MAX(0,(IF(L4,94050,47025))*(1+TaxBracketInflation)^10-MAX(0,L14+L16+L17+0.85*L13-(IF(L4,StdDeduction,StdDeductionSingle))*(1+TaxBracketInflation)^10))))*0.15+0.038*MIN((MIN(MAX(0,L15+L26-L13-L14),(L7*(1+ReturnAfterTax)+L16)))*CapGainsPct,MAX(0,(L14+L16+L17+0.85*L13+(MIN(MAX(0,L15+L26-L13-L14),(L7*(1+ReturnAfterTax)+L16)))*CapGainsPct)-(IF(L4,NIITThreshold,NIITThresholdSingle))*(1+TaxBracketInflation)^10))+(L14+(MIN(MAX(0,L15+L26-L13-L14),(L7*(1+ReturnAfterTax)+L16)))*CapGainsPct)*ILTaxRate</f>
        <v/>
      </c>
      <c r="M27" s="8">
        <f>(MAX(0,M14+M16+M17+0.85*M13-(IF(M4,StdDeduction,StdDeductionSingle))*(1+TaxBracketInflation)^11))*0.22+(MAX(0,(MIN(MAX(0,M15+M26-M13-M14),(M7*(1+ReturnAfterTax)+M16)))*CapGainsPct-MAX(0,(IF(M4,94050,47025))*(1+TaxBracketInflation)^11-MAX(0,M14+M16+M17+0.85*M13-(IF(M4,StdDeduction,StdDeductionSingle))*(1+TaxBracketInflation)^11))))*0.15+0.038*MIN((MIN(MAX(0,M15+M26-M13-M14),(M7*(1+ReturnAfterTax)+M16)))*CapGainsPct,MAX(0,(M14+M16+M17+0.85*M13+(MIN(MAX(0,M15+M26-M13-M14),(M7*(1+ReturnAfterTax)+M16)))*CapGainsPct)-(IF(M4,NIITThreshold,NIITThresholdSingle))*(1+TaxBracketInflation)^11))+(M14+(MIN(MAX(0,M15+M26-M13-M14),(M7*(1+ReturnAfterTax)+M16)))*CapGainsPct)*ILTaxRate</f>
        <v/>
      </c>
      <c r="N27" s="8">
        <f>(MAX(0,N14+N16+N17+0.85*N13-(IF(N4,StdDeduction,StdDeductionSingle))*(1+TaxBracketInflation)^12))*0.22+(MAX(0,(MIN(MAX(0,N15+N26-N13-N14),(N7*(1+ReturnAfterTax)+N16)))*CapGainsPct-MAX(0,(IF(N4,94050,47025))*(1+TaxBracketInflation)^12-MAX(0,N14+N16+N17+0.85*N13-(IF(N4,StdDeduction,StdDeductionSingle))*(1+TaxBracketInflation)^12))))*0.15+0.038*MIN((MIN(MAX(0,N15+N26-N13-N14),(N7*(1+ReturnAfterTax)+N16)))*CapGainsPct,MAX(0,(N14+N16+N17+0.85*N13+(MIN(MAX(0,N15+N26-N13-N14),(N7*(1+ReturnAfterTax)+N16)))*CapGainsPct)-(IF(N4,NIITThreshold,NIITThresholdSingle))*(1+TaxBracketInflation)^12))+(N14+(MIN(MAX(0,N15+N26-N13-N14),(N7*(1+ReturnAfterTax)+N16)))*CapGainsPct)*ILTaxRate</f>
        <v/>
      </c>
      <c r="O27" s="8">
        <f>(MAX(0,O14+O16+O17+0.85*O13-(IF(O4,StdDeduction,StdDeductionSingle))*(1+TaxBracketInflation)^13))*0.22+(MAX(0,(MIN(MAX(0,O15+O26-O13-O14),(O7*(1+ReturnAfterTax)+O16)))*CapGainsPct-MAX(0,(IF(O4,94050,47025))*(1+TaxBracketInflation)^13-MAX(0,O14+O16+O17+0.85*O13-(IF(O4,StdDeduction,StdDeductionSingle))*(1+TaxBracketInflation)^13))))*0.15+0.038*MIN((MIN(MAX(0,O15+O26-O13-O14),(O7*(1+ReturnAfterTax)+O16)))*CapGainsPct,MAX(0,(O14+O16+O17+0.85*O13+(MIN(MAX(0,O15+O26-O13-O14),(O7*(1+ReturnAfterTax)+O16)))*CapGainsPct)-(IF(O4,NIITThreshold,NIITThresholdSingle))*(1+TaxBracketInflation)^13))+(O14+(MIN(MAX(0,O15+O26-O13-O14),(O7*(1+ReturnAfterTax)+O16)))*CapGainsPct)*ILTaxRate</f>
        <v/>
      </c>
      <c r="P27" s="8">
        <f>(MAX(0,P14+P16+P17+0.85*P13-(IF(P4,StdDeduction,StdDeductionSingle))*(1+TaxBracketInflation)^14))*0.22+(MAX(0,(MIN(MAX(0,P15+P26-P13-P14),(P7*(1+ReturnAfterTax)+P16)))*CapGainsPct-MAX(0,(IF(P4,94050,47025))*(1+TaxBracketInflation)^14-MAX(0,P14+P16+P17+0.85*P13-(IF(P4,StdDeduction,StdDeductionSingle))*(1+TaxBracketInflation)^14))))*0.15+0.038*MIN((MIN(MAX(0,P15+P26-P13-P14),(P7*(1+ReturnAfterTax)+P16)))*CapGainsPct,MAX(0,(P14+P16+P17+0.85*P13+(MIN(MAX(0,P15+P26-P13-P14),(P7*(1+ReturnAfterTax)+P16)))*CapGainsPct)-(IF(P4,NIITThreshold,NIITThresholdSingle))*(1+TaxBracketInflation)^14))+(P14+(MIN(MAX(0,P15+P26-P13-P14),(P7*(1+ReturnAfterTax)+P16)))*CapGainsPct)*ILTaxRate</f>
        <v/>
      </c>
      <c r="Q27" s="8">
        <f>(MAX(0,Q14+Q16+Q17+0.85*Q13-(IF(Q4,StdDeduction,StdDeductionSingle))*(1+TaxBracketInflation)^15))*0.22+(MAX(0,(MIN(MAX(0,Q15+Q26-Q13-Q14),(Q7*(1+ReturnAfterTax)+Q16)))*CapGainsPct-MAX(0,(IF(Q4,94050,47025))*(1+TaxBracketInflation)^15-MAX(0,Q14+Q16+Q17+0.85*Q13-(IF(Q4,StdDeduction,StdDeductionSingle))*(1+TaxBracketInflation)^15))))*0.15+0.038*MIN((MIN(MAX(0,Q15+Q26-Q13-Q14),(Q7*(1+ReturnAfterTax)+Q16)))*CapGainsPct,MAX(0,(Q14+Q16+Q17+0.85*Q13+(MIN(MAX(0,Q15+Q26-Q13-Q14),(Q7*(1+ReturnAfterTax)+Q16)))*CapGainsPct)-(IF(Q4,NIITThreshold,NIITThresholdSingle))*(1+TaxBracketInflation)^15))+(Q14+(MIN(MAX(0,Q15+Q26-Q13-Q14),(Q7*(1+ReturnAfterTax)+Q16)))*CapGainsPct)*ILTaxRate</f>
        <v/>
      </c>
      <c r="R27" s="8">
        <f>(MAX(0,R14+R16+R17+0.85*R13-(IF(R4,StdDeduction,StdDeductionSingle))*(1+TaxBracketInflation)^16))*0.22+(MAX(0,(MIN(MAX(0,R15+R26-R13-R14),(R7*(1+ReturnAfterTax)+R16)))*CapGainsPct-MAX(0,(IF(R4,94050,47025))*(1+TaxBracketInflation)^16-MAX(0,R14+R16+R17+0.85*R13-(IF(R4,StdDeduction,StdDeductionSingle))*(1+TaxBracketInflation)^16))))*0.15+0.038*MIN((MIN(MAX(0,R15+R26-R13-R14),(R7*(1+ReturnAfterTax)+R16)))*CapGainsPct,MAX(0,(R14+R16+R17+0.85*R13+(MIN(MAX(0,R15+R26-R13-R14),(R7*(1+ReturnAfterTax)+R16)))*CapGainsPct)-(IF(R4,NIITThreshold,NIITThresholdSingle))*(1+TaxBracketInflation)^16))+(R14+(MIN(MAX(0,R15+R26-R13-R14),(R7*(1+ReturnAfterTax)+R16)))*CapGainsPct)*ILTaxRate</f>
        <v/>
      </c>
      <c r="S27" s="8">
        <f>(MAX(0,S14+S16+S17+0.85*S13-(IF(S4,StdDeduction,StdDeductionSingle))*(1+TaxBracketInflation)^17))*0.22+(MAX(0,(MIN(MAX(0,S15+S26-S13-S14),(S7*(1+ReturnAfterTax)+S16)))*CapGainsPct-MAX(0,(IF(S4,94050,47025))*(1+TaxBracketInflation)^17-MAX(0,S14+S16+S17+0.85*S13-(IF(S4,StdDeduction,StdDeductionSingle))*(1+TaxBracketInflation)^17))))*0.15+0.038*MIN((MIN(MAX(0,S15+S26-S13-S14),(S7*(1+ReturnAfterTax)+S16)))*CapGainsPct,MAX(0,(S14+S16+S17+0.85*S13+(MIN(MAX(0,S15+S26-S13-S14),(S7*(1+ReturnAfterTax)+S16)))*CapGainsPct)-(IF(S4,NIITThreshold,NIITThresholdSingle))*(1+TaxBracketInflation)^17))+(S14+(MIN(MAX(0,S15+S26-S13-S14),(S7*(1+ReturnAfterTax)+S16)))*CapGainsPct)*ILTaxRate</f>
        <v/>
      </c>
      <c r="T27" s="8">
        <f>(MAX(0,T14+T16+T17+0.85*T13-(IF(T4,StdDeduction,StdDeductionSingle))*(1+TaxBracketInflation)^18))*0.22+(MAX(0,(MIN(MAX(0,T15+T26-T13-T14),(T7*(1+ReturnAfterTax)+T16)))*CapGainsPct-MAX(0,(IF(T4,94050,47025))*(1+TaxBracketInflation)^18-MAX(0,T14+T16+T17+0.85*T13-(IF(T4,StdDeduction,StdDeductionSingle))*(1+TaxBracketInflation)^18))))*0.15+0.038*MIN((MIN(MAX(0,T15+T26-T13-T14),(T7*(1+ReturnAfterTax)+T16)))*CapGainsPct,MAX(0,(T14+T16+T17+0.85*T13+(MIN(MAX(0,T15+T26-T13-T14),(T7*(1+ReturnAfterTax)+T16)))*CapGainsPct)-(IF(T4,NIITThreshold,NIITThresholdSingle))*(1+TaxBracketInflation)^18))+(T14+(MIN(MAX(0,T15+T26-T13-T14),(T7*(1+ReturnAfterTax)+T16)))*CapGainsPct)*ILTaxRate</f>
        <v/>
      </c>
      <c r="U27" s="8">
        <f>(MAX(0,U14+U16+U17+0.85*U13-(IF(U4,StdDeduction,StdDeductionSingle))*(1+TaxBracketInflation)^19))*0.22+(MAX(0,(MIN(MAX(0,U15+U26-U13-U14),(U7*(1+ReturnAfterTax)+U16)))*CapGainsPct-MAX(0,(IF(U4,94050,47025))*(1+TaxBracketInflation)^19-MAX(0,U14+U16+U17+0.85*U13-(IF(U4,StdDeduction,StdDeductionSingle))*(1+TaxBracketInflation)^19))))*0.15+0.038*MIN((MIN(MAX(0,U15+U26-U13-U14),(U7*(1+ReturnAfterTax)+U16)))*CapGainsPct,MAX(0,(U14+U16+U17+0.85*U13+(MIN(MAX(0,U15+U26-U13-U14),(U7*(1+ReturnAfterTax)+U16)))*CapGainsPct)-(IF(U4,NIITThreshold,NIITThresholdSingle))*(1+TaxBracketInflation)^19))+(U14+(MIN(MAX(0,U15+U26-U13-U14),(U7*(1+ReturnAfterTax)+U16)))*CapGainsPct)*ILTaxRate</f>
        <v/>
      </c>
      <c r="V27" s="8">
        <f>(MAX(0,V14+V16+V17+0.85*V13-(IF(V4,StdDeduction,StdDeductionSingle))*(1+TaxBracketInflation)^20))*0.22+(MAX(0,(MIN(MAX(0,V15+V26-V13-V14),(V7*(1+ReturnAfterTax)+V16)))*CapGainsPct-MAX(0,(IF(V4,94050,47025))*(1+TaxBracketInflation)^20-MAX(0,V14+V16+V17+0.85*V13-(IF(V4,StdDeduction,StdDeductionSingle))*(1+TaxBracketInflation)^20))))*0.15+0.038*MIN((MIN(MAX(0,V15+V26-V13-V14),(V7*(1+ReturnAfterTax)+V16)))*CapGainsPct,MAX(0,(V14+V16+V17+0.85*V13+(MIN(MAX(0,V15+V26-V13-V14),(V7*(1+ReturnAfterTax)+V16)))*CapGainsPct)-(IF(V4,NIITThreshold,NIITThresholdSingle))*(1+TaxBracketInflation)^20))+(V14+(MIN(MAX(0,V15+V26-V13-V14),(V7*(1+ReturnAfterTax)+V16)))*CapGainsPct)*ILTaxRate</f>
        <v/>
      </c>
      <c r="W27" s="8">
        <f>(MAX(0,W14+W16+W17+0.85*W13-(IF(W4,StdDeduction,StdDeductionSingle))*(1+TaxBracketInflation)^21))*0.22+(MAX(0,(MIN(MAX(0,W15+W26-W13-W14),(W7*(1+ReturnAfterTax)+W16)))*CapGainsPct-MAX(0,(IF(W4,94050,47025))*(1+TaxBracketInflation)^21-MAX(0,W14+W16+W17+0.85*W13-(IF(W4,StdDeduction,StdDeductionSingle))*(1+TaxBracketInflation)^21))))*0.15+0.038*MIN((MIN(MAX(0,W15+W26-W13-W14),(W7*(1+ReturnAfterTax)+W16)))*CapGainsPct,MAX(0,(W14+W16+W17+0.85*W13+(MIN(MAX(0,W15+W26-W13-W14),(W7*(1+ReturnAfterTax)+W16)))*CapGainsPct)-(IF(W4,NIITThreshold,NIITThresholdSingle))*(1+TaxBracketInflation)^21))+(W14+(MIN(MAX(0,W15+W26-W13-W14),(W7*(1+ReturnAfterTax)+W16)))*CapGainsPct)*ILTaxRate</f>
        <v/>
      </c>
      <c r="X27" s="8">
        <f>(MAX(0,X14+X16+X17+0.85*X13-(IF(X4,StdDeduction,StdDeductionSingle))*(1+TaxBracketInflation)^22))*0.22+(MAX(0,(MIN(MAX(0,X15+X26-X13-X14),(X7*(1+ReturnAfterTax)+X16)))*CapGainsPct-MAX(0,(IF(X4,94050,47025))*(1+TaxBracketInflation)^22-MAX(0,X14+X16+X17+0.85*X13-(IF(X4,StdDeduction,StdDeductionSingle))*(1+TaxBracketInflation)^22))))*0.15+0.038*MIN((MIN(MAX(0,X15+X26-X13-X14),(X7*(1+ReturnAfterTax)+X16)))*CapGainsPct,MAX(0,(X14+X16+X17+0.85*X13+(MIN(MAX(0,X15+X26-X13-X14),(X7*(1+ReturnAfterTax)+X16)))*CapGainsPct)-(IF(X4,NIITThreshold,NIITThresholdSingle))*(1+TaxBracketInflation)^22))+(X14+(MIN(MAX(0,X15+X26-X13-X14),(X7*(1+ReturnAfterTax)+X16)))*CapGainsPct)*ILTaxRate</f>
        <v/>
      </c>
      <c r="Y27" s="8">
        <f>(MAX(0,Y14+Y16+Y17+0.85*Y13-(IF(Y4,StdDeduction,StdDeductionSingle))*(1+TaxBracketInflation)^23))*0.22+(MAX(0,(MIN(MAX(0,Y15+Y26-Y13-Y14),(Y7*(1+ReturnAfterTax)+Y16)))*CapGainsPct-MAX(0,(IF(Y4,94050,47025))*(1+TaxBracketInflation)^23-MAX(0,Y14+Y16+Y17+0.85*Y13-(IF(Y4,StdDeduction,StdDeductionSingle))*(1+TaxBracketInflation)^23))))*0.15+0.038*MIN((MIN(MAX(0,Y15+Y26-Y13-Y14),(Y7*(1+ReturnAfterTax)+Y16)))*CapGainsPct,MAX(0,(Y14+Y16+Y17+0.85*Y13+(MIN(MAX(0,Y15+Y26-Y13-Y14),(Y7*(1+ReturnAfterTax)+Y16)))*CapGainsPct)-(IF(Y4,NIITThreshold,NIITThresholdSingle))*(1+TaxBracketInflation)^23))+(Y14+(MIN(MAX(0,Y15+Y26-Y13-Y14),(Y7*(1+ReturnAfterTax)+Y16)))*CapGainsPct)*ILTaxRate</f>
        <v/>
      </c>
      <c r="Z27" s="8">
        <f>(MAX(0,Z14+Z16+Z17+0.85*Z13-(IF(Z4,StdDeduction,StdDeductionSingle))*(1+TaxBracketInflation)^24))*0.22+(MAX(0,(MIN(MAX(0,Z15+Z26-Z13-Z14),(Z7*(1+ReturnAfterTax)+Z16)))*CapGainsPct-MAX(0,(IF(Z4,94050,47025))*(1+TaxBracketInflation)^24-MAX(0,Z14+Z16+Z17+0.85*Z13-(IF(Z4,StdDeduction,StdDeductionSingle))*(1+TaxBracketInflation)^24))))*0.15+0.038*MIN((MIN(MAX(0,Z15+Z26-Z13-Z14),(Z7*(1+ReturnAfterTax)+Z16)))*CapGainsPct,MAX(0,(Z14+Z16+Z17+0.85*Z13+(MIN(MAX(0,Z15+Z26-Z13-Z14),(Z7*(1+ReturnAfterTax)+Z16)))*CapGainsPct)-(IF(Z4,NIITThreshold,NIITThresholdSingle))*(1+TaxBracketInflation)^24))+(Z14+(MIN(MAX(0,Z15+Z26-Z13-Z14),(Z7*(1+ReturnAfterTax)+Z16)))*CapGainsPct)*ILTaxRate</f>
        <v/>
      </c>
      <c r="AA27" s="8">
        <f>(MAX(0,AA14+AA16+AA17+0.85*AA13-(IF(AA4,StdDeduction,StdDeductionSingle))*(1+TaxBracketInflation)^25))*0.22+(MAX(0,(MIN(MAX(0,AA15+AA26-AA13-AA14),(AA7*(1+ReturnAfterTax)+AA16)))*CapGainsPct-MAX(0,(IF(AA4,94050,47025))*(1+TaxBracketInflation)^25-MAX(0,AA14+AA16+AA17+0.85*AA13-(IF(AA4,StdDeduction,StdDeductionSingle))*(1+TaxBracketInflation)^25))))*0.15+0.038*MIN((MIN(MAX(0,AA15+AA26-AA13-AA14),(AA7*(1+ReturnAfterTax)+AA16)))*CapGainsPct,MAX(0,(AA14+AA16+AA17+0.85*AA13+(MIN(MAX(0,AA15+AA26-AA13-AA14),(AA7*(1+ReturnAfterTax)+AA16)))*CapGainsPct)-(IF(AA4,NIITThreshold,NIITThresholdSingle))*(1+TaxBracketInflation)^25))+(AA14+(MIN(MAX(0,AA15+AA26-AA13-AA14),(AA7*(1+ReturnAfterTax)+AA16)))*CapGainsPct)*ILTaxRate</f>
        <v/>
      </c>
      <c r="AB27" s="8">
        <f>(MAX(0,AB14+AB16+AB17+0.85*AB13-(IF(AB4,StdDeduction,StdDeductionSingle))*(1+TaxBracketInflation)^26))*0.22+(MAX(0,(MIN(MAX(0,AB15+AB26-AB13-AB14),(AB7*(1+ReturnAfterTax)+AB16)))*CapGainsPct-MAX(0,(IF(AB4,94050,47025))*(1+TaxBracketInflation)^26-MAX(0,AB14+AB16+AB17+0.85*AB13-(IF(AB4,StdDeduction,StdDeductionSingle))*(1+TaxBracketInflation)^26))))*0.15+0.038*MIN((MIN(MAX(0,AB15+AB26-AB13-AB14),(AB7*(1+ReturnAfterTax)+AB16)))*CapGainsPct,MAX(0,(AB14+AB16+AB17+0.85*AB13+(MIN(MAX(0,AB15+AB26-AB13-AB14),(AB7*(1+ReturnAfterTax)+AB16)))*CapGainsPct)-(IF(AB4,NIITThreshold,NIITThresholdSingle))*(1+TaxBracketInflation)^26))+(AB14+(MIN(MAX(0,AB15+AB26-AB13-AB14),(AB7*(1+ReturnAfterTax)+AB16)))*CapGainsPct)*ILTaxRate</f>
        <v/>
      </c>
      <c r="AC27" s="8">
        <f>(MAX(0,AC14+AC16+AC17+0.85*AC13-(IF(AC4,StdDeduction,StdDeductionSingle))*(1+TaxBracketInflation)^27))*0.22+(MAX(0,(MIN(MAX(0,AC15+AC26-AC13-AC14),(AC7*(1+ReturnAfterTax)+AC16)))*CapGainsPct-MAX(0,(IF(AC4,94050,47025))*(1+TaxBracketInflation)^27-MAX(0,AC14+AC16+AC17+0.85*AC13-(IF(AC4,StdDeduction,StdDeductionSingle))*(1+TaxBracketInflation)^27))))*0.15+0.038*MIN((MIN(MAX(0,AC15+AC26-AC13-AC14),(AC7*(1+ReturnAfterTax)+AC16)))*CapGainsPct,MAX(0,(AC14+AC16+AC17+0.85*AC13+(MIN(MAX(0,AC15+AC26-AC13-AC14),(AC7*(1+ReturnAfterTax)+AC16)))*CapGainsPct)-(IF(AC4,NIITThreshold,NIITThresholdSingle))*(1+TaxBracketInflation)^27))+(AC14+(MIN(MAX(0,AC15+AC26-AC13-AC14),(AC7*(1+ReturnAfterTax)+AC16)))*CapGainsPct)*ILTaxRate</f>
        <v/>
      </c>
      <c r="AD27" s="8">
        <f>(MAX(0,AD14+AD16+AD17+0.85*AD13-(IF(AD4,StdDeduction,StdDeductionSingle))*(1+TaxBracketInflation)^28))*0.22+(MAX(0,(MIN(MAX(0,AD15+AD26-AD13-AD14),(AD7*(1+ReturnAfterTax)+AD16)))*CapGainsPct-MAX(0,(IF(AD4,94050,47025))*(1+TaxBracketInflation)^28-MAX(0,AD14+AD16+AD17+0.85*AD13-(IF(AD4,StdDeduction,StdDeductionSingle))*(1+TaxBracketInflation)^28))))*0.15+0.038*MIN((MIN(MAX(0,AD15+AD26-AD13-AD14),(AD7*(1+ReturnAfterTax)+AD16)))*CapGainsPct,MAX(0,(AD14+AD16+AD17+0.85*AD13+(MIN(MAX(0,AD15+AD26-AD13-AD14),(AD7*(1+ReturnAfterTax)+AD16)))*CapGainsPct)-(IF(AD4,NIITThreshold,NIITThresholdSingle))*(1+TaxBracketInflation)^28))+(AD14+(MIN(MAX(0,AD15+AD26-AD13-AD14),(AD7*(1+ReturnAfterTax)+AD16)))*CapGainsPct)*ILTaxRate</f>
        <v/>
      </c>
      <c r="AE27" s="8">
        <f>(MAX(0,AE14+AE16+AE17+0.85*AE13-(IF(AE4,StdDeduction,StdDeductionSingle))*(1+TaxBracketInflation)^29))*0.22+(MAX(0,(MIN(MAX(0,AE15+AE26-AE13-AE14),(AE7*(1+ReturnAfterTax)+AE16)))*CapGainsPct-MAX(0,(IF(AE4,94050,47025))*(1+TaxBracketInflation)^29-MAX(0,AE14+AE16+AE17+0.85*AE13-(IF(AE4,StdDeduction,StdDeductionSingle))*(1+TaxBracketInflation)^29))))*0.15+0.038*MIN((MIN(MAX(0,AE15+AE26-AE13-AE14),(AE7*(1+ReturnAfterTax)+AE16)))*CapGainsPct,MAX(0,(AE14+AE16+AE17+0.85*AE13+(MIN(MAX(0,AE15+AE26-AE13-AE14),(AE7*(1+ReturnAfterTax)+AE16)))*CapGainsPct)-(IF(AE4,NIITThreshold,NIITThresholdSingle))*(1+TaxBracketInflation)^29))+(AE14+(MIN(MAX(0,AE15+AE26-AE13-AE14),(AE7*(1+ReturnAfterTax)+AE16)))*CapGainsPct)*ILTaxRate</f>
        <v/>
      </c>
    </row>
    <row r="28">
      <c r="A28" s="11" t="inlineStr">
        <is>
          <t>Total Cash Need</t>
        </is>
      </c>
      <c r="B28" s="8">
        <f>B15+B26+B27</f>
        <v/>
      </c>
      <c r="C28" s="8">
        <f>C15+C26+C27</f>
        <v/>
      </c>
      <c r="D28" s="8">
        <f>D15+D26+D27</f>
        <v/>
      </c>
      <c r="E28" s="8">
        <f>E15+E26+E27</f>
        <v/>
      </c>
      <c r="F28" s="8">
        <f>F15+F26+F27</f>
        <v/>
      </c>
      <c r="G28" s="8">
        <f>G15+G26+G27</f>
        <v/>
      </c>
      <c r="H28" s="8">
        <f>H15+H26+H27</f>
        <v/>
      </c>
      <c r="I28" s="8">
        <f>I15+I26+I27</f>
        <v/>
      </c>
      <c r="J28" s="8">
        <f>J15+J26+J27</f>
        <v/>
      </c>
      <c r="K28" s="8">
        <f>K15+K26+K27</f>
        <v/>
      </c>
      <c r="L28" s="8">
        <f>L15+L26+L27</f>
        <v/>
      </c>
      <c r="M28" s="8">
        <f>M15+M26+M27</f>
        <v/>
      </c>
      <c r="N28" s="8">
        <f>N15+N26+N27</f>
        <v/>
      </c>
      <c r="O28" s="8">
        <f>O15+O26+O27</f>
        <v/>
      </c>
      <c r="P28" s="8">
        <f>P15+P26+P27</f>
        <v/>
      </c>
      <c r="Q28" s="8">
        <f>Q15+Q26+Q27</f>
        <v/>
      </c>
      <c r="R28" s="8">
        <f>R15+R26+R27</f>
        <v/>
      </c>
      <c r="S28" s="8">
        <f>S15+S26+S27</f>
        <v/>
      </c>
      <c r="T28" s="8">
        <f>T15+T26+T27</f>
        <v/>
      </c>
      <c r="U28" s="8">
        <f>U15+U26+U27</f>
        <v/>
      </c>
      <c r="V28" s="8">
        <f>V15+V26+V27</f>
        <v/>
      </c>
      <c r="W28" s="8">
        <f>W15+W26+W27</f>
        <v/>
      </c>
      <c r="X28" s="8">
        <f>X15+X26+X27</f>
        <v/>
      </c>
      <c r="Y28" s="8">
        <f>Y15+Y26+Y27</f>
        <v/>
      </c>
      <c r="Z28" s="8">
        <f>Z15+Z26+Z27</f>
        <v/>
      </c>
      <c r="AA28" s="8">
        <f>AA15+AA26+AA27</f>
        <v/>
      </c>
      <c r="AB28" s="8">
        <f>AB15+AB26+AB27</f>
        <v/>
      </c>
      <c r="AC28" s="8">
        <f>AC15+AC26+AC27</f>
        <v/>
      </c>
      <c r="AD28" s="8">
        <f>AD15+AD26+AD27</f>
        <v/>
      </c>
      <c r="AE28" s="8">
        <f>AE15+AE26+AE27</f>
        <v/>
      </c>
    </row>
    <row r="29">
      <c r="A29" t="inlineStr"/>
    </row>
    <row r="30">
      <c r="A30" s="12" t="inlineStr">
        <is>
          <t>WITHDRAWALS</t>
        </is>
      </c>
    </row>
    <row r="31">
      <c r="A31" s="11" t="inlineStr">
        <is>
          <t>Discretionary W/D</t>
        </is>
      </c>
      <c r="B31" s="8">
        <f>IFERROR(VLOOKUP(B1,DiscretionaryTable,2,FALSE),0)</f>
        <v/>
      </c>
      <c r="C31" s="8">
        <f>IFERROR(VLOOKUP(C1,DiscretionaryTable,2,FALSE),0)</f>
        <v/>
      </c>
      <c r="D31" s="8">
        <f>IFERROR(VLOOKUP(D1,DiscretionaryTable,2,FALSE),0)</f>
        <v/>
      </c>
      <c r="E31" s="8">
        <f>IFERROR(VLOOKUP(E1,DiscretionaryTable,2,FALSE),0)</f>
        <v/>
      </c>
      <c r="F31" s="8">
        <f>IFERROR(VLOOKUP(F1,DiscretionaryTable,2,FALSE),0)</f>
        <v/>
      </c>
      <c r="G31" s="8">
        <f>IFERROR(VLOOKUP(G1,DiscretionaryTable,2,FALSE),0)</f>
        <v/>
      </c>
      <c r="H31" s="8">
        <f>IFERROR(VLOOKUP(H1,DiscretionaryTable,2,FALSE),0)</f>
        <v/>
      </c>
      <c r="I31" s="8">
        <f>IFERROR(VLOOKUP(I1,DiscretionaryTable,2,FALSE),0)</f>
        <v/>
      </c>
      <c r="J31" s="8">
        <f>IFERROR(VLOOKUP(J1,DiscretionaryTable,2,FALSE),0)</f>
        <v/>
      </c>
      <c r="K31" s="8">
        <f>IFERROR(VLOOKUP(K1,DiscretionaryTable,2,FALSE),0)</f>
        <v/>
      </c>
      <c r="L31" s="8">
        <f>IFERROR(VLOOKUP(L1,DiscretionaryTable,2,FALSE),0)</f>
        <v/>
      </c>
      <c r="M31" s="8">
        <f>IFERROR(VLOOKUP(M1,DiscretionaryTable,2,FALSE),0)</f>
        <v/>
      </c>
      <c r="N31" s="8">
        <f>IFERROR(VLOOKUP(N1,DiscretionaryTable,2,FALSE),0)</f>
        <v/>
      </c>
      <c r="O31" s="8">
        <f>IFERROR(VLOOKUP(O1,DiscretionaryTable,2,FALSE),0)</f>
        <v/>
      </c>
      <c r="P31" s="8">
        <f>IFERROR(VLOOKUP(P1,DiscretionaryTable,2,FALSE),0)</f>
        <v/>
      </c>
      <c r="Q31" s="8">
        <f>IFERROR(VLOOKUP(Q1,DiscretionaryTable,2,FALSE),0)</f>
        <v/>
      </c>
      <c r="R31" s="8">
        <f>IFERROR(VLOOKUP(R1,DiscretionaryTable,2,FALSE),0)</f>
        <v/>
      </c>
      <c r="S31" s="8">
        <f>IFERROR(VLOOKUP(S1,DiscretionaryTable,2,FALSE),0)</f>
        <v/>
      </c>
      <c r="T31" s="8">
        <f>IFERROR(VLOOKUP(T1,DiscretionaryTable,2,FALSE),0)</f>
        <v/>
      </c>
      <c r="U31" s="8">
        <f>IFERROR(VLOOKUP(U1,DiscretionaryTable,2,FALSE),0)</f>
        <v/>
      </c>
      <c r="V31" s="8">
        <f>IFERROR(VLOOKUP(V1,DiscretionaryTable,2,FALSE),0)</f>
        <v/>
      </c>
      <c r="W31" s="8">
        <f>IFERROR(VLOOKUP(W1,DiscretionaryTable,2,FALSE),0)</f>
        <v/>
      </c>
      <c r="X31" s="8">
        <f>IFERROR(VLOOKUP(X1,DiscretionaryTable,2,FALSE),0)</f>
        <v/>
      </c>
      <c r="Y31" s="8">
        <f>IFERROR(VLOOKUP(Y1,DiscretionaryTable,2,FALSE),0)</f>
        <v/>
      </c>
      <c r="Z31" s="8">
        <f>IFERROR(VLOOKUP(Z1,DiscretionaryTable,2,FALSE),0)</f>
        <v/>
      </c>
      <c r="AA31" s="8">
        <f>IFERROR(VLOOKUP(AA1,DiscretionaryTable,2,FALSE),0)</f>
        <v/>
      </c>
      <c r="AB31" s="8">
        <f>IFERROR(VLOOKUP(AB1,DiscretionaryTable,2,FALSE),0)</f>
        <v/>
      </c>
      <c r="AC31" s="8">
        <f>IFERROR(VLOOKUP(AC1,DiscretionaryTable,2,FALSE),0)</f>
        <v/>
      </c>
      <c r="AD31" s="8">
        <f>IFERROR(VLOOKUP(AD1,DiscretionaryTable,2,FALSE),0)</f>
        <v/>
      </c>
      <c r="AE31" s="8">
        <f>IFERROR(VLOOKUP(AE1,DiscretionaryTable,2,FALSE),0)</f>
        <v/>
      </c>
    </row>
    <row r="32">
      <c r="A32" s="11" t="inlineStr">
        <is>
          <t>W/D After-Tax</t>
        </is>
      </c>
      <c r="B32" s="8">
        <f>MIN(MAX(0,B28+B31-B13-B14),B7+B20+B16)</f>
        <v/>
      </c>
      <c r="C32" s="8">
        <f>MIN(MAX(0,C28+C31-C13-C14),C7+C20+C16)</f>
        <v/>
      </c>
      <c r="D32" s="8">
        <f>MIN(MAX(0,D28+D31-D13-D14),D7+D20+D16)</f>
        <v/>
      </c>
      <c r="E32" s="8">
        <f>MIN(MAX(0,E28+E31-E13-E14),E7+E20+E16)</f>
        <v/>
      </c>
      <c r="F32" s="8">
        <f>MIN(MAX(0,F28+F31-F13-F14),F7+F20+F16)</f>
        <v/>
      </c>
      <c r="G32" s="8">
        <f>MIN(MAX(0,G28+G31-G13-G14),G7+G20+G16)</f>
        <v/>
      </c>
      <c r="H32" s="8">
        <f>MIN(MAX(0,H28+H31-H13-H14),H7+H20+H16)</f>
        <v/>
      </c>
      <c r="I32" s="8">
        <f>MIN(MAX(0,I28+I31-I13-I14),I7+I20+I16)</f>
        <v/>
      </c>
      <c r="J32" s="8">
        <f>MIN(MAX(0,J28+J31-J13-J14),J7+J20+J16)</f>
        <v/>
      </c>
      <c r="K32" s="8">
        <f>MIN(MAX(0,K28+K31-K13-K14),K7+K20+K16)</f>
        <v/>
      </c>
      <c r="L32" s="8">
        <f>MIN(MAX(0,L28+L31-L13-L14),L7+L20+L16)</f>
        <v/>
      </c>
      <c r="M32" s="8">
        <f>MIN(MAX(0,M28+M31-M13-M14),M7+M20+M16)</f>
        <v/>
      </c>
      <c r="N32" s="8">
        <f>MIN(MAX(0,N28+N31-N13-N14),N7+N20+N16)</f>
        <v/>
      </c>
      <c r="O32" s="8">
        <f>MIN(MAX(0,O28+O31-O13-O14),O7+O20+O16)</f>
        <v/>
      </c>
      <c r="P32" s="8">
        <f>MIN(MAX(0,P28+P31-P13-P14),P7+P20+P16)</f>
        <v/>
      </c>
      <c r="Q32" s="8">
        <f>MIN(MAX(0,Q28+Q31-Q13-Q14),Q7+Q20+Q16)</f>
        <v/>
      </c>
      <c r="R32" s="8">
        <f>MIN(MAX(0,R28+R31-R13-R14),R7+R20+R16)</f>
        <v/>
      </c>
      <c r="S32" s="8">
        <f>MIN(MAX(0,S28+S31-S13-S14),S7+S20+S16)</f>
        <v/>
      </c>
      <c r="T32" s="8">
        <f>MIN(MAX(0,T28+T31-T13-T14),T7+T20+T16)</f>
        <v/>
      </c>
      <c r="U32" s="8">
        <f>MIN(MAX(0,U28+U31-U13-U14),U7+U20+U16)</f>
        <v/>
      </c>
      <c r="V32" s="8">
        <f>MIN(MAX(0,V28+V31-V13-V14),V7+V20+V16)</f>
        <v/>
      </c>
      <c r="W32" s="8">
        <f>MIN(MAX(0,W28+W31-W13-W14),W7+W20+W16)</f>
        <v/>
      </c>
      <c r="X32" s="8">
        <f>MIN(MAX(0,X28+X31-X13-X14),X7+X20+X16)</f>
        <v/>
      </c>
      <c r="Y32" s="8">
        <f>MIN(MAX(0,Y28+Y31-Y13-Y14),Y7+Y20+Y16)</f>
        <v/>
      </c>
      <c r="Z32" s="8">
        <f>MIN(MAX(0,Z28+Z31-Z13-Z14),Z7+Z20+Z16)</f>
        <v/>
      </c>
      <c r="AA32" s="8">
        <f>MIN(MAX(0,AA28+AA31-AA13-AA14),AA7+AA20+AA16)</f>
        <v/>
      </c>
      <c r="AB32" s="8">
        <f>MIN(MAX(0,AB28+AB31-AB13-AB14),AB7+AB20+AB16)</f>
        <v/>
      </c>
      <c r="AC32" s="8">
        <f>MIN(MAX(0,AC28+AC31-AC13-AC14),AC7+AC20+AC16)</f>
        <v/>
      </c>
      <c r="AD32" s="8">
        <f>MIN(MAX(0,AD28+AD31-AD13-AD14),AD7+AD20+AD16)</f>
        <v/>
      </c>
      <c r="AE32" s="8">
        <f>MIN(MAX(0,AE28+AE31-AE13-AE14),AE7+AE20+AE16)</f>
        <v/>
      </c>
    </row>
    <row r="33">
      <c r="A33" s="11" t="inlineStr">
        <is>
          <t>W/D IRA (above RMD)</t>
        </is>
      </c>
      <c r="B33" s="8">
        <f>MIN(MAX(0,B28+B31-B13-B14-B32),MAX(0,B8-B17+B21-B16))</f>
        <v/>
      </c>
      <c r="C33" s="8">
        <f>MIN(MAX(0,C28+C31-C13-C14-C32),MAX(0,C8-C17+C21-C16))</f>
        <v/>
      </c>
      <c r="D33" s="8">
        <f>MIN(MAX(0,D28+D31-D13-D14-D32),MAX(0,D8-D17+D21-D16))</f>
        <v/>
      </c>
      <c r="E33" s="8">
        <f>MIN(MAX(0,E28+E31-E13-E14-E32),MAX(0,E8-E17+E21-E16))</f>
        <v/>
      </c>
      <c r="F33" s="8">
        <f>MIN(MAX(0,F28+F31-F13-F14-F32),MAX(0,F8-F17+F21-F16))</f>
        <v/>
      </c>
      <c r="G33" s="8">
        <f>MIN(MAX(0,G28+G31-G13-G14-G32),MAX(0,G8-G17+G21-G16))</f>
        <v/>
      </c>
      <c r="H33" s="8">
        <f>MIN(MAX(0,H28+H31-H13-H14-H32),MAX(0,H8-H17+H21-H16))</f>
        <v/>
      </c>
      <c r="I33" s="8">
        <f>MIN(MAX(0,I28+I31-I13-I14-I32),MAX(0,I8-I17+I21-I16))</f>
        <v/>
      </c>
      <c r="J33" s="8">
        <f>MIN(MAX(0,J28+J31-J13-J14-J32),MAX(0,J8-J17+J21-J16))</f>
        <v/>
      </c>
      <c r="K33" s="8">
        <f>MIN(MAX(0,K28+K31-K13-K14-K32),MAX(0,K8-K17+K21-K16))</f>
        <v/>
      </c>
      <c r="L33" s="8">
        <f>MIN(MAX(0,L28+L31-L13-L14-L32),MAX(0,L8-L17+L21-L16))</f>
        <v/>
      </c>
      <c r="M33" s="8">
        <f>MIN(MAX(0,M28+M31-M13-M14-M32),MAX(0,M8-M17+M21-M16))</f>
        <v/>
      </c>
      <c r="N33" s="8">
        <f>MIN(MAX(0,N28+N31-N13-N14-N32),MAX(0,N8-N17+N21-N16))</f>
        <v/>
      </c>
      <c r="O33" s="8">
        <f>MIN(MAX(0,O28+O31-O13-O14-O32),MAX(0,O8-O17+O21-O16))</f>
        <v/>
      </c>
      <c r="P33" s="8">
        <f>MIN(MAX(0,P28+P31-P13-P14-P32),MAX(0,P8-P17+P21-P16))</f>
        <v/>
      </c>
      <c r="Q33" s="8">
        <f>MIN(MAX(0,Q28+Q31-Q13-Q14-Q32),MAX(0,Q8-Q17+Q21-Q16))</f>
        <v/>
      </c>
      <c r="R33" s="8">
        <f>MIN(MAX(0,R28+R31-R13-R14-R32),MAX(0,R8-R17+R21-R16))</f>
        <v/>
      </c>
      <c r="S33" s="8">
        <f>MIN(MAX(0,S28+S31-S13-S14-S32),MAX(0,S8-S17+S21-S16))</f>
        <v/>
      </c>
      <c r="T33" s="8">
        <f>MIN(MAX(0,T28+T31-T13-T14-T32),MAX(0,T8-T17+T21-T16))</f>
        <v/>
      </c>
      <c r="U33" s="8">
        <f>MIN(MAX(0,U28+U31-U13-U14-U32),MAX(0,U8-U17+U21-U16))</f>
        <v/>
      </c>
      <c r="V33" s="8">
        <f>MIN(MAX(0,V28+V31-V13-V14-V32),MAX(0,V8-V17+V21-V16))</f>
        <v/>
      </c>
      <c r="W33" s="8">
        <f>MIN(MAX(0,W28+W31-W13-W14-W32),MAX(0,W8-W17+W21-W16))</f>
        <v/>
      </c>
      <c r="X33" s="8">
        <f>MIN(MAX(0,X28+X31-X13-X14-X32),MAX(0,X8-X17+X21-X16))</f>
        <v/>
      </c>
      <c r="Y33" s="8">
        <f>MIN(MAX(0,Y28+Y31-Y13-Y14-Y32),MAX(0,Y8-Y17+Y21-Y16))</f>
        <v/>
      </c>
      <c r="Z33" s="8">
        <f>MIN(MAX(0,Z28+Z31-Z13-Z14-Z32),MAX(0,Z8-Z17+Z21-Z16))</f>
        <v/>
      </c>
      <c r="AA33" s="8">
        <f>MIN(MAX(0,AA28+AA31-AA13-AA14-AA32),MAX(0,AA8-AA17+AA21-AA16))</f>
        <v/>
      </c>
      <c r="AB33" s="8">
        <f>MIN(MAX(0,AB28+AB31-AB13-AB14-AB32),MAX(0,AB8-AB17+AB21-AB16))</f>
        <v/>
      </c>
      <c r="AC33" s="8">
        <f>MIN(MAX(0,AC28+AC31-AC13-AC14-AC32),MAX(0,AC8-AC17+AC21-AC16))</f>
        <v/>
      </c>
      <c r="AD33" s="8">
        <f>MIN(MAX(0,AD28+AD31-AD13-AD14-AD32),MAX(0,AD8-AD17+AD21-AD16))</f>
        <v/>
      </c>
      <c r="AE33" s="8">
        <f>MIN(MAX(0,AE28+AE31-AE13-AE14-AE32),MAX(0,AE8-AE17+AE21-AE16))</f>
        <v/>
      </c>
    </row>
    <row r="34">
      <c r="A34" s="11" t="inlineStr">
        <is>
          <t>W/D Roth</t>
        </is>
      </c>
      <c r="B34" s="8">
        <f>MIN(MAX(0,B28+B31-B13-B14-B32-B33),B9+B17+B22)</f>
        <v/>
      </c>
      <c r="C34" s="8">
        <f>MIN(MAX(0,C28+C31-C13-C14-C32-C33),C9+C17+C22)</f>
        <v/>
      </c>
      <c r="D34" s="8">
        <f>MIN(MAX(0,D28+D31-D13-D14-D32-D33),D9+D17+D22)</f>
        <v/>
      </c>
      <c r="E34" s="8">
        <f>MIN(MAX(0,E28+E31-E13-E14-E32-E33),E9+E17+E22)</f>
        <v/>
      </c>
      <c r="F34" s="8">
        <f>MIN(MAX(0,F28+F31-F13-F14-F32-F33),F9+F17+F22)</f>
        <v/>
      </c>
      <c r="G34" s="8">
        <f>MIN(MAX(0,G28+G31-G13-G14-G32-G33),G9+G17+G22)</f>
        <v/>
      </c>
      <c r="H34" s="8">
        <f>MIN(MAX(0,H28+H31-H13-H14-H32-H33),H9+H17+H22)</f>
        <v/>
      </c>
      <c r="I34" s="8">
        <f>MIN(MAX(0,I28+I31-I13-I14-I32-I33),I9+I17+I22)</f>
        <v/>
      </c>
      <c r="J34" s="8">
        <f>MIN(MAX(0,J28+J31-J13-J14-J32-J33),J9+J17+J22)</f>
        <v/>
      </c>
      <c r="K34" s="8">
        <f>MIN(MAX(0,K28+K31-K13-K14-K32-K33),K9+K17+K22)</f>
        <v/>
      </c>
      <c r="L34" s="8">
        <f>MIN(MAX(0,L28+L31-L13-L14-L32-L33),L9+L17+L22)</f>
        <v/>
      </c>
      <c r="M34" s="8">
        <f>MIN(MAX(0,M28+M31-M13-M14-M32-M33),M9+M17+M22)</f>
        <v/>
      </c>
      <c r="N34" s="8">
        <f>MIN(MAX(0,N28+N31-N13-N14-N32-N33),N9+N17+N22)</f>
        <v/>
      </c>
      <c r="O34" s="8">
        <f>MIN(MAX(0,O28+O31-O13-O14-O32-O33),O9+O17+O22)</f>
        <v/>
      </c>
      <c r="P34" s="8">
        <f>MIN(MAX(0,P28+P31-P13-P14-P32-P33),P9+P17+P22)</f>
        <v/>
      </c>
      <c r="Q34" s="8">
        <f>MIN(MAX(0,Q28+Q31-Q13-Q14-Q32-Q33),Q9+Q17+Q22)</f>
        <v/>
      </c>
      <c r="R34" s="8">
        <f>MIN(MAX(0,R28+R31-R13-R14-R32-R33),R9+R17+R22)</f>
        <v/>
      </c>
      <c r="S34" s="8">
        <f>MIN(MAX(0,S28+S31-S13-S14-S32-S33),S9+S17+S22)</f>
        <v/>
      </c>
      <c r="T34" s="8">
        <f>MIN(MAX(0,T28+T31-T13-T14-T32-T33),T9+T17+T22)</f>
        <v/>
      </c>
      <c r="U34" s="8">
        <f>MIN(MAX(0,U28+U31-U13-U14-U32-U33),U9+U17+U22)</f>
        <v/>
      </c>
      <c r="V34" s="8">
        <f>MIN(MAX(0,V28+V31-V13-V14-V32-V33),V9+V17+V22)</f>
        <v/>
      </c>
      <c r="W34" s="8">
        <f>MIN(MAX(0,W28+W31-W13-W14-W32-W33),W9+W17+W22)</f>
        <v/>
      </c>
      <c r="X34" s="8">
        <f>MIN(MAX(0,X28+X31-X13-X14-X32-X33),X9+X17+X22)</f>
        <v/>
      </c>
      <c r="Y34" s="8">
        <f>MIN(MAX(0,Y28+Y31-Y13-Y14-Y32-Y33),Y9+Y17+Y22)</f>
        <v/>
      </c>
      <c r="Z34" s="8">
        <f>MIN(MAX(0,Z28+Z31-Z13-Z14-Z32-Z33),Z9+Z17+Z22)</f>
        <v/>
      </c>
      <c r="AA34" s="8">
        <f>MIN(MAX(0,AA28+AA31-AA13-AA14-AA32-AA33),AA9+AA17+AA22)</f>
        <v/>
      </c>
      <c r="AB34" s="8">
        <f>MIN(MAX(0,AB28+AB31-AB13-AB14-AB32-AB33),AB9+AB17+AB22)</f>
        <v/>
      </c>
      <c r="AC34" s="8">
        <f>MIN(MAX(0,AC28+AC31-AC13-AC14-AC32-AC33),AC9+AC17+AC22)</f>
        <v/>
      </c>
      <c r="AD34" s="8">
        <f>MIN(MAX(0,AD28+AD31-AD13-AD14-AD32-AD33),AD9+AD17+AD22)</f>
        <v/>
      </c>
      <c r="AE34" s="8">
        <f>MIN(MAX(0,AE28+AE31-AE13-AE14-AE32-AE33),AE9+AE17+AE22)</f>
        <v/>
      </c>
    </row>
    <row r="35">
      <c r="A35" s="11" t="inlineStr">
        <is>
          <t>Total Withdrawals</t>
        </is>
      </c>
      <c r="B35" s="8">
        <f>B32+B33+B34</f>
        <v/>
      </c>
      <c r="C35" s="8">
        <f>C32+C33+C34</f>
        <v/>
      </c>
      <c r="D35" s="8">
        <f>D32+D33+D34</f>
        <v/>
      </c>
      <c r="E35" s="8">
        <f>E32+E33+E34</f>
        <v/>
      </c>
      <c r="F35" s="8">
        <f>F32+F33+F34</f>
        <v/>
      </c>
      <c r="G35" s="8">
        <f>G32+G33+G34</f>
        <v/>
      </c>
      <c r="H35" s="8">
        <f>H32+H33+H34</f>
        <v/>
      </c>
      <c r="I35" s="8">
        <f>I32+I33+I34</f>
        <v/>
      </c>
      <c r="J35" s="8">
        <f>J32+J33+J34</f>
        <v/>
      </c>
      <c r="K35" s="8">
        <f>K32+K33+K34</f>
        <v/>
      </c>
      <c r="L35" s="8">
        <f>L32+L33+L34</f>
        <v/>
      </c>
      <c r="M35" s="8">
        <f>M32+M33+M34</f>
        <v/>
      </c>
      <c r="N35" s="8">
        <f>N32+N33+N34</f>
        <v/>
      </c>
      <c r="O35" s="8">
        <f>O32+O33+O34</f>
        <v/>
      </c>
      <c r="P35" s="8">
        <f>P32+P33+P34</f>
        <v/>
      </c>
      <c r="Q35" s="8">
        <f>Q32+Q33+Q34</f>
        <v/>
      </c>
      <c r="R35" s="8">
        <f>R32+R33+R34</f>
        <v/>
      </c>
      <c r="S35" s="8">
        <f>S32+S33+S34</f>
        <v/>
      </c>
      <c r="T35" s="8">
        <f>T32+T33+T34</f>
        <v/>
      </c>
      <c r="U35" s="8">
        <f>U32+U33+U34</f>
        <v/>
      </c>
      <c r="V35" s="8">
        <f>V32+V33+V34</f>
        <v/>
      </c>
      <c r="W35" s="8">
        <f>W32+W33+W34</f>
        <v/>
      </c>
      <c r="X35" s="8">
        <f>X32+X33+X34</f>
        <v/>
      </c>
      <c r="Y35" s="8">
        <f>Y32+Y33+Y34</f>
        <v/>
      </c>
      <c r="Z35" s="8">
        <f>Z32+Z33+Z34</f>
        <v/>
      </c>
      <c r="AA35" s="8">
        <f>AA32+AA33+AA34</f>
        <v/>
      </c>
      <c r="AB35" s="8">
        <f>AB32+AB33+AB34</f>
        <v/>
      </c>
      <c r="AC35" s="8">
        <f>AC32+AC33+AC34</f>
        <v/>
      </c>
      <c r="AD35" s="8">
        <f>AD32+AD33+AD34</f>
        <v/>
      </c>
      <c r="AE35" s="8">
        <f>AE32+AE33+AE34</f>
        <v/>
      </c>
    </row>
    <row r="36">
      <c r="A36" t="inlineStr"/>
    </row>
    <row r="37">
      <c r="A37" s="12" t="inlineStr">
        <is>
          <t>TAX DETAIL</t>
        </is>
      </c>
    </row>
    <row r="38">
      <c r="A38" s="11" t="inlineStr">
        <is>
          <t>Taxable Soc Sec</t>
        </is>
      </c>
      <c r="B38" s="8">
        <f>IF((B14+B16+B17+B33+B32*CapGainsPct+0.5*B13)&lt;=32000,0,IF((B14+B16+B17+B33+B32*CapGainsPct+0.5*B13)&lt;=44000,MIN(0.5*B13,0.5*((B14+B16+B17+B33+B32*CapGainsPct+0.5*B13)-32000)),MIN(0.85*B13,0.5*B13+0.85*((B14+B16+B17+B33+B32*CapGainsPct+0.5*B13)-44000))))</f>
        <v/>
      </c>
      <c r="C38" s="8">
        <f>IF((C14+C16+C17+C33+C32*CapGainsPct+0.5*C13)&lt;=32000,0,IF((C14+C16+C17+C33+C32*CapGainsPct+0.5*C13)&lt;=44000,MIN(0.5*C13,0.5*((C14+C16+C17+C33+C32*CapGainsPct+0.5*C13)-32000)),MIN(0.85*C13,0.5*C13+0.85*((C14+C16+C17+C33+C32*CapGainsPct+0.5*C13)-44000))))</f>
        <v/>
      </c>
      <c r="D38" s="8">
        <f>IF((D14+D16+D17+D33+D32*CapGainsPct+0.5*D13)&lt;=32000,0,IF((D14+D16+D17+D33+D32*CapGainsPct+0.5*D13)&lt;=44000,MIN(0.5*D13,0.5*((D14+D16+D17+D33+D32*CapGainsPct+0.5*D13)-32000)),MIN(0.85*D13,0.5*D13+0.85*((D14+D16+D17+D33+D32*CapGainsPct+0.5*D13)-44000))))</f>
        <v/>
      </c>
      <c r="E38" s="8">
        <f>IF((E14+E16+E17+E33+E32*CapGainsPct+0.5*E13)&lt;=32000,0,IF((E14+E16+E17+E33+E32*CapGainsPct+0.5*E13)&lt;=44000,MIN(0.5*E13,0.5*((E14+E16+E17+E33+E32*CapGainsPct+0.5*E13)-32000)),MIN(0.85*E13,0.5*E13+0.85*((E14+E16+E17+E33+E32*CapGainsPct+0.5*E13)-44000))))</f>
        <v/>
      </c>
      <c r="F38" s="8">
        <f>IF((F14+F16+F17+F33+F32*CapGainsPct+0.5*F13)&lt;=32000,0,IF((F14+F16+F17+F33+F32*CapGainsPct+0.5*F13)&lt;=44000,MIN(0.5*F13,0.5*((F14+F16+F17+F33+F32*CapGainsPct+0.5*F13)-32000)),MIN(0.85*F13,0.5*F13+0.85*((F14+F16+F17+F33+F32*CapGainsPct+0.5*F13)-44000))))</f>
        <v/>
      </c>
      <c r="G38" s="8">
        <f>IF((G14+G16+G17+G33+G32*CapGainsPct+0.5*G13)&lt;=32000,0,IF((G14+G16+G17+G33+G32*CapGainsPct+0.5*G13)&lt;=44000,MIN(0.5*G13,0.5*((G14+G16+G17+G33+G32*CapGainsPct+0.5*G13)-32000)),MIN(0.85*G13,0.5*G13+0.85*((G14+G16+G17+G33+G32*CapGainsPct+0.5*G13)-44000))))</f>
        <v/>
      </c>
      <c r="H38" s="8">
        <f>IF((H14+H16+H17+H33+H32*CapGainsPct+0.5*H13)&lt;=32000,0,IF((H14+H16+H17+H33+H32*CapGainsPct+0.5*H13)&lt;=44000,MIN(0.5*H13,0.5*((H14+H16+H17+H33+H32*CapGainsPct+0.5*H13)-32000)),MIN(0.85*H13,0.5*H13+0.85*((H14+H16+H17+H33+H32*CapGainsPct+0.5*H13)-44000))))</f>
        <v/>
      </c>
      <c r="I38" s="8">
        <f>IF((I14+I16+I17+I33+I32*CapGainsPct+0.5*I13)&lt;=32000,0,IF((I14+I16+I17+I33+I32*CapGainsPct+0.5*I13)&lt;=44000,MIN(0.5*I13,0.5*((I14+I16+I17+I33+I32*CapGainsPct+0.5*I13)-32000)),MIN(0.85*I13,0.5*I13+0.85*((I14+I16+I17+I33+I32*CapGainsPct+0.5*I13)-44000))))</f>
        <v/>
      </c>
      <c r="J38" s="8">
        <f>IF((J14+J16+J17+J33+J32*CapGainsPct+0.5*J13)&lt;=32000,0,IF((J14+J16+J17+J33+J32*CapGainsPct+0.5*J13)&lt;=44000,MIN(0.5*J13,0.5*((J14+J16+J17+J33+J32*CapGainsPct+0.5*J13)-32000)),MIN(0.85*J13,0.5*J13+0.85*((J14+J16+J17+J33+J32*CapGainsPct+0.5*J13)-44000))))</f>
        <v/>
      </c>
      <c r="K38" s="8">
        <f>IF((K14+K16+K17+K33+K32*CapGainsPct+0.5*K13)&lt;=32000,0,IF((K14+K16+K17+K33+K32*CapGainsPct+0.5*K13)&lt;=44000,MIN(0.5*K13,0.5*((K14+K16+K17+K33+K32*CapGainsPct+0.5*K13)-32000)),MIN(0.85*K13,0.5*K13+0.85*((K14+K16+K17+K33+K32*CapGainsPct+0.5*K13)-44000))))</f>
        <v/>
      </c>
      <c r="L38" s="8">
        <f>IF((L14+L16+L17+L33+L32*CapGainsPct+0.5*L13)&lt;=32000,0,IF((L14+L16+L17+L33+L32*CapGainsPct+0.5*L13)&lt;=44000,MIN(0.5*L13,0.5*((L14+L16+L17+L33+L32*CapGainsPct+0.5*L13)-32000)),MIN(0.85*L13,0.5*L13+0.85*((L14+L16+L17+L33+L32*CapGainsPct+0.5*L13)-44000))))</f>
        <v/>
      </c>
      <c r="M38" s="8">
        <f>IF((M14+M16+M17+M33+M32*CapGainsPct+0.5*M13)&lt;=32000,0,IF((M14+M16+M17+M33+M32*CapGainsPct+0.5*M13)&lt;=44000,MIN(0.5*M13,0.5*((M14+M16+M17+M33+M32*CapGainsPct+0.5*M13)-32000)),MIN(0.85*M13,0.5*M13+0.85*((M14+M16+M17+M33+M32*CapGainsPct+0.5*M13)-44000))))</f>
        <v/>
      </c>
      <c r="N38" s="8">
        <f>IF((N14+N16+N17+N33+N32*CapGainsPct+0.5*N13)&lt;=32000,0,IF((N14+N16+N17+N33+N32*CapGainsPct+0.5*N13)&lt;=44000,MIN(0.5*N13,0.5*((N14+N16+N17+N33+N32*CapGainsPct+0.5*N13)-32000)),MIN(0.85*N13,0.5*N13+0.85*((N14+N16+N17+N33+N32*CapGainsPct+0.5*N13)-44000))))</f>
        <v/>
      </c>
      <c r="O38" s="8">
        <f>IF((O14+O16+O17+O33+O32*CapGainsPct+0.5*O13)&lt;=32000,0,IF((O14+O16+O17+O33+O32*CapGainsPct+0.5*O13)&lt;=44000,MIN(0.5*O13,0.5*((O14+O16+O17+O33+O32*CapGainsPct+0.5*O13)-32000)),MIN(0.85*O13,0.5*O13+0.85*((O14+O16+O17+O33+O32*CapGainsPct+0.5*O13)-44000))))</f>
        <v/>
      </c>
      <c r="P38" s="8">
        <f>IF((P14+P16+P17+P33+P32*CapGainsPct+0.5*P13)&lt;=32000,0,IF((P14+P16+P17+P33+P32*CapGainsPct+0.5*P13)&lt;=44000,MIN(0.5*P13,0.5*((P14+P16+P17+P33+P32*CapGainsPct+0.5*P13)-32000)),MIN(0.85*P13,0.5*P13+0.85*((P14+P16+P17+P33+P32*CapGainsPct+0.5*P13)-44000))))</f>
        <v/>
      </c>
      <c r="Q38" s="8">
        <f>IF((Q14+Q16+Q17+Q33+Q32*CapGainsPct+0.5*Q13)&lt;=32000,0,IF((Q14+Q16+Q17+Q33+Q32*CapGainsPct+0.5*Q13)&lt;=44000,MIN(0.5*Q13,0.5*((Q14+Q16+Q17+Q33+Q32*CapGainsPct+0.5*Q13)-32000)),MIN(0.85*Q13,0.5*Q13+0.85*((Q14+Q16+Q17+Q33+Q32*CapGainsPct+0.5*Q13)-44000))))</f>
        <v/>
      </c>
      <c r="R38" s="8">
        <f>IF((R14+R16+R17+R33+R32*CapGainsPct+0.5*R13)&lt;=32000,0,IF((R14+R16+R17+R33+R32*CapGainsPct+0.5*R13)&lt;=44000,MIN(0.5*R13,0.5*((R14+R16+R17+R33+R32*CapGainsPct+0.5*R13)-32000)),MIN(0.85*R13,0.5*R13+0.85*((R14+R16+R17+R33+R32*CapGainsPct+0.5*R13)-44000))))</f>
        <v/>
      </c>
      <c r="S38" s="8">
        <f>IF((S14+S16+S17+S33+S32*CapGainsPct+0.5*S13)&lt;=32000,0,IF((S14+S16+S17+S33+S32*CapGainsPct+0.5*S13)&lt;=44000,MIN(0.5*S13,0.5*((S14+S16+S17+S33+S32*CapGainsPct+0.5*S13)-32000)),MIN(0.85*S13,0.5*S13+0.85*((S14+S16+S17+S33+S32*CapGainsPct+0.5*S13)-44000))))</f>
        <v/>
      </c>
      <c r="T38" s="8">
        <f>IF((T14+T16+T17+T33+T32*CapGainsPct+0.5*T13)&lt;=32000,0,IF((T14+T16+T17+T33+T32*CapGainsPct+0.5*T13)&lt;=44000,MIN(0.5*T13,0.5*((T14+T16+T17+T33+T32*CapGainsPct+0.5*T13)-32000)),MIN(0.85*T13,0.5*T13+0.85*((T14+T16+T17+T33+T32*CapGainsPct+0.5*T13)-44000))))</f>
        <v/>
      </c>
      <c r="U38" s="8">
        <f>IF((U14+U16+U17+U33+U32*CapGainsPct+0.5*U13)&lt;=32000,0,IF((U14+U16+U17+U33+U32*CapGainsPct+0.5*U13)&lt;=44000,MIN(0.5*U13,0.5*((U14+U16+U17+U33+U32*CapGainsPct+0.5*U13)-32000)),MIN(0.85*U13,0.5*U13+0.85*((U14+U16+U17+U33+U32*CapGainsPct+0.5*U13)-44000))))</f>
        <v/>
      </c>
      <c r="V38" s="8">
        <f>IF((V14+V16+V17+V33+V32*CapGainsPct+0.5*V13)&lt;=32000,0,IF((V14+V16+V17+V33+V32*CapGainsPct+0.5*V13)&lt;=44000,MIN(0.5*V13,0.5*((V14+V16+V17+V33+V32*CapGainsPct+0.5*V13)-32000)),MIN(0.85*V13,0.5*V13+0.85*((V14+V16+V17+V33+V32*CapGainsPct+0.5*V13)-44000))))</f>
        <v/>
      </c>
      <c r="W38" s="8">
        <f>IF((W14+W16+W17+W33+W32*CapGainsPct+0.5*W13)&lt;=32000,0,IF((W14+W16+W17+W33+W32*CapGainsPct+0.5*W13)&lt;=44000,MIN(0.5*W13,0.5*((W14+W16+W17+W33+W32*CapGainsPct+0.5*W13)-32000)),MIN(0.85*W13,0.5*W13+0.85*((W14+W16+W17+W33+W32*CapGainsPct+0.5*W13)-44000))))</f>
        <v/>
      </c>
      <c r="X38" s="8">
        <f>IF((X14+X16+X17+X33+X32*CapGainsPct+0.5*X13)&lt;=32000,0,IF((X14+X16+X17+X33+X32*CapGainsPct+0.5*X13)&lt;=44000,MIN(0.5*X13,0.5*((X14+X16+X17+X33+X32*CapGainsPct+0.5*X13)-32000)),MIN(0.85*X13,0.5*X13+0.85*((X14+X16+X17+X33+X32*CapGainsPct+0.5*X13)-44000))))</f>
        <v/>
      </c>
      <c r="Y38" s="8">
        <f>IF((Y14+Y16+Y17+Y33+Y32*CapGainsPct+0.5*Y13)&lt;=32000,0,IF((Y14+Y16+Y17+Y33+Y32*CapGainsPct+0.5*Y13)&lt;=44000,MIN(0.5*Y13,0.5*((Y14+Y16+Y17+Y33+Y32*CapGainsPct+0.5*Y13)-32000)),MIN(0.85*Y13,0.5*Y13+0.85*((Y14+Y16+Y17+Y33+Y32*CapGainsPct+0.5*Y13)-44000))))</f>
        <v/>
      </c>
      <c r="Z38" s="8">
        <f>IF((Z14+Z16+Z17+Z33+Z32*CapGainsPct+0.5*Z13)&lt;=32000,0,IF((Z14+Z16+Z17+Z33+Z32*CapGainsPct+0.5*Z13)&lt;=44000,MIN(0.5*Z13,0.5*((Z14+Z16+Z17+Z33+Z32*CapGainsPct+0.5*Z13)-32000)),MIN(0.85*Z13,0.5*Z13+0.85*((Z14+Z16+Z17+Z33+Z32*CapGainsPct+0.5*Z13)-44000))))</f>
        <v/>
      </c>
      <c r="AA38" s="8">
        <f>IF((AA14+AA16+AA17+AA33+AA32*CapGainsPct+0.5*AA13)&lt;=32000,0,IF((AA14+AA16+AA17+AA33+AA32*CapGainsPct+0.5*AA13)&lt;=44000,MIN(0.5*AA13,0.5*((AA14+AA16+AA17+AA33+AA32*CapGainsPct+0.5*AA13)-32000)),MIN(0.85*AA13,0.5*AA13+0.85*((AA14+AA16+AA17+AA33+AA32*CapGainsPct+0.5*AA13)-44000))))</f>
        <v/>
      </c>
      <c r="AB38" s="8">
        <f>IF((AB14+AB16+AB17+AB33+AB32*CapGainsPct+0.5*AB13)&lt;=32000,0,IF((AB14+AB16+AB17+AB33+AB32*CapGainsPct+0.5*AB13)&lt;=44000,MIN(0.5*AB13,0.5*((AB14+AB16+AB17+AB33+AB32*CapGainsPct+0.5*AB13)-32000)),MIN(0.85*AB13,0.5*AB13+0.85*((AB14+AB16+AB17+AB33+AB32*CapGainsPct+0.5*AB13)-44000))))</f>
        <v/>
      </c>
      <c r="AC38" s="8">
        <f>IF((AC14+AC16+AC17+AC33+AC32*CapGainsPct+0.5*AC13)&lt;=32000,0,IF((AC14+AC16+AC17+AC33+AC32*CapGainsPct+0.5*AC13)&lt;=44000,MIN(0.5*AC13,0.5*((AC14+AC16+AC17+AC33+AC32*CapGainsPct+0.5*AC13)-32000)),MIN(0.85*AC13,0.5*AC13+0.85*((AC14+AC16+AC17+AC33+AC32*CapGainsPct+0.5*AC13)-44000))))</f>
        <v/>
      </c>
      <c r="AD38" s="8">
        <f>IF((AD14+AD16+AD17+AD33+AD32*CapGainsPct+0.5*AD13)&lt;=32000,0,IF((AD14+AD16+AD17+AD33+AD32*CapGainsPct+0.5*AD13)&lt;=44000,MIN(0.5*AD13,0.5*((AD14+AD16+AD17+AD33+AD32*CapGainsPct+0.5*AD13)-32000)),MIN(0.85*AD13,0.5*AD13+0.85*((AD14+AD16+AD17+AD33+AD32*CapGainsPct+0.5*AD13)-44000))))</f>
        <v/>
      </c>
      <c r="AE38" s="8">
        <f>IF((AE14+AE16+AE17+AE33+AE32*CapGainsPct+0.5*AE13)&lt;=32000,0,IF((AE14+AE16+AE17+AE33+AE32*CapGainsPct+0.5*AE13)&lt;=44000,MIN(0.5*AE13,0.5*((AE14+AE16+AE17+AE33+AE32*CapGainsPct+0.5*AE13)-32000)),MIN(0.85*AE13,0.5*AE13+0.85*((AE14+AE16+AE17+AE33+AE32*CapGainsPct+0.5*AE13)-44000))))</f>
        <v/>
      </c>
    </row>
    <row r="39">
      <c r="A39" s="11" t="inlineStr">
        <is>
          <t>Ordinary Income</t>
        </is>
      </c>
      <c r="B39" s="8">
        <f>MAX(0,B14+B16+B17+B33+B38-(IF(B4,StdDeduction,StdDeductionSingle))*(1+TaxBracketInflation)^0)</f>
        <v/>
      </c>
      <c r="C39" s="8">
        <f>MAX(0,C14+C16+C17+C33+C38-(IF(C4,StdDeduction,StdDeductionSingle))*(1+TaxBracketInflation)^1)</f>
        <v/>
      </c>
      <c r="D39" s="8">
        <f>MAX(0,D14+D16+D17+D33+D38-(IF(D4,StdDeduction,StdDeductionSingle))*(1+TaxBracketInflation)^2)</f>
        <v/>
      </c>
      <c r="E39" s="8">
        <f>MAX(0,E14+E16+E17+E33+E38-(IF(E4,StdDeduction,StdDeductionSingle))*(1+TaxBracketInflation)^3)</f>
        <v/>
      </c>
      <c r="F39" s="8">
        <f>MAX(0,F14+F16+F17+F33+F38-(IF(F4,StdDeduction,StdDeductionSingle))*(1+TaxBracketInflation)^4)</f>
        <v/>
      </c>
      <c r="G39" s="8">
        <f>MAX(0,G14+G16+G17+G33+G38-(IF(G4,StdDeduction,StdDeductionSingle))*(1+TaxBracketInflation)^5)</f>
        <v/>
      </c>
      <c r="H39" s="8">
        <f>MAX(0,H14+H16+H17+H33+H38-(IF(H4,StdDeduction,StdDeductionSingle))*(1+TaxBracketInflation)^6)</f>
        <v/>
      </c>
      <c r="I39" s="8">
        <f>MAX(0,I14+I16+I17+I33+I38-(IF(I4,StdDeduction,StdDeductionSingle))*(1+TaxBracketInflation)^7)</f>
        <v/>
      </c>
      <c r="J39" s="8">
        <f>MAX(0,J14+J16+J17+J33+J38-(IF(J4,StdDeduction,StdDeductionSingle))*(1+TaxBracketInflation)^8)</f>
        <v/>
      </c>
      <c r="K39" s="8">
        <f>MAX(0,K14+K16+K17+K33+K38-(IF(K4,StdDeduction,StdDeductionSingle))*(1+TaxBracketInflation)^9)</f>
        <v/>
      </c>
      <c r="L39" s="8">
        <f>MAX(0,L14+L16+L17+L33+L38-(IF(L4,StdDeduction,StdDeductionSingle))*(1+TaxBracketInflation)^10)</f>
        <v/>
      </c>
      <c r="M39" s="8">
        <f>MAX(0,M14+M16+M17+M33+M38-(IF(M4,StdDeduction,StdDeductionSingle))*(1+TaxBracketInflation)^11)</f>
        <v/>
      </c>
      <c r="N39" s="8">
        <f>MAX(0,N14+N16+N17+N33+N38-(IF(N4,StdDeduction,StdDeductionSingle))*(1+TaxBracketInflation)^12)</f>
        <v/>
      </c>
      <c r="O39" s="8">
        <f>MAX(0,O14+O16+O17+O33+O38-(IF(O4,StdDeduction,StdDeductionSingle))*(1+TaxBracketInflation)^13)</f>
        <v/>
      </c>
      <c r="P39" s="8">
        <f>MAX(0,P14+P16+P17+P33+P38-(IF(P4,StdDeduction,StdDeductionSingle))*(1+TaxBracketInflation)^14)</f>
        <v/>
      </c>
      <c r="Q39" s="8">
        <f>MAX(0,Q14+Q16+Q17+Q33+Q38-(IF(Q4,StdDeduction,StdDeductionSingle))*(1+TaxBracketInflation)^15)</f>
        <v/>
      </c>
      <c r="R39" s="8">
        <f>MAX(0,R14+R16+R17+R33+R38-(IF(R4,StdDeduction,StdDeductionSingle))*(1+TaxBracketInflation)^16)</f>
        <v/>
      </c>
      <c r="S39" s="8">
        <f>MAX(0,S14+S16+S17+S33+S38-(IF(S4,StdDeduction,StdDeductionSingle))*(1+TaxBracketInflation)^17)</f>
        <v/>
      </c>
      <c r="T39" s="8">
        <f>MAX(0,T14+T16+T17+T33+T38-(IF(T4,StdDeduction,StdDeductionSingle))*(1+TaxBracketInflation)^18)</f>
        <v/>
      </c>
      <c r="U39" s="8">
        <f>MAX(0,U14+U16+U17+U33+U38-(IF(U4,StdDeduction,StdDeductionSingle))*(1+TaxBracketInflation)^19)</f>
        <v/>
      </c>
      <c r="V39" s="8">
        <f>MAX(0,V14+V16+V17+V33+V38-(IF(V4,StdDeduction,StdDeductionSingle))*(1+TaxBracketInflation)^20)</f>
        <v/>
      </c>
      <c r="W39" s="8">
        <f>MAX(0,W14+W16+W17+W33+W38-(IF(W4,StdDeduction,StdDeductionSingle))*(1+TaxBracketInflation)^21)</f>
        <v/>
      </c>
      <c r="X39" s="8">
        <f>MAX(0,X14+X16+X17+X33+X38-(IF(X4,StdDeduction,StdDeductionSingle))*(1+TaxBracketInflation)^22)</f>
        <v/>
      </c>
      <c r="Y39" s="8">
        <f>MAX(0,Y14+Y16+Y17+Y33+Y38-(IF(Y4,StdDeduction,StdDeductionSingle))*(1+TaxBracketInflation)^23)</f>
        <v/>
      </c>
      <c r="Z39" s="8">
        <f>MAX(0,Z14+Z16+Z17+Z33+Z38-(IF(Z4,StdDeduction,StdDeductionSingle))*(1+TaxBracketInflation)^24)</f>
        <v/>
      </c>
      <c r="AA39" s="8">
        <f>MAX(0,AA14+AA16+AA17+AA33+AA38-(IF(AA4,StdDeduction,StdDeductionSingle))*(1+TaxBracketInflation)^25)</f>
        <v/>
      </c>
      <c r="AB39" s="8">
        <f>MAX(0,AB14+AB16+AB17+AB33+AB38-(IF(AB4,StdDeduction,StdDeductionSingle))*(1+TaxBracketInflation)^26)</f>
        <v/>
      </c>
      <c r="AC39" s="8">
        <f>MAX(0,AC14+AC16+AC17+AC33+AC38-(IF(AC4,StdDeduction,StdDeductionSingle))*(1+TaxBracketInflation)^27)</f>
        <v/>
      </c>
      <c r="AD39" s="8">
        <f>MAX(0,AD14+AD16+AD17+AD33+AD38-(IF(AD4,StdDeduction,StdDeductionSingle))*(1+TaxBracketInflation)^28)</f>
        <v/>
      </c>
      <c r="AE39" s="8">
        <f>MAX(0,AE14+AE16+AE17+AE33+AE38-(IF(AE4,StdDeduction,StdDeductionSingle))*(1+TaxBracketInflation)^29)</f>
        <v/>
      </c>
    </row>
    <row r="40">
      <c r="A40" s="11" t="inlineStr">
        <is>
          <t>Capital Gains</t>
        </is>
      </c>
      <c r="B40" s="8">
        <f>B32*CapGainsPct</f>
        <v/>
      </c>
      <c r="C40" s="8">
        <f>C32*CapGainsPct</f>
        <v/>
      </c>
      <c r="D40" s="8">
        <f>D32*CapGainsPct</f>
        <v/>
      </c>
      <c r="E40" s="8">
        <f>E32*CapGainsPct</f>
        <v/>
      </c>
      <c r="F40" s="8">
        <f>F32*CapGainsPct</f>
        <v/>
      </c>
      <c r="G40" s="8">
        <f>G32*CapGainsPct</f>
        <v/>
      </c>
      <c r="H40" s="8">
        <f>H32*CapGainsPct</f>
        <v/>
      </c>
      <c r="I40" s="8">
        <f>I32*CapGainsPct</f>
        <v/>
      </c>
      <c r="J40" s="8">
        <f>J32*CapGainsPct</f>
        <v/>
      </c>
      <c r="K40" s="8">
        <f>K32*CapGainsPct</f>
        <v/>
      </c>
      <c r="L40" s="8">
        <f>L32*CapGainsPct</f>
        <v/>
      </c>
      <c r="M40" s="8">
        <f>M32*CapGainsPct</f>
        <v/>
      </c>
      <c r="N40" s="8">
        <f>N32*CapGainsPct</f>
        <v/>
      </c>
      <c r="O40" s="8">
        <f>O32*CapGainsPct</f>
        <v/>
      </c>
      <c r="P40" s="8">
        <f>P32*CapGainsPct</f>
        <v/>
      </c>
      <c r="Q40" s="8">
        <f>Q32*CapGainsPct</f>
        <v/>
      </c>
      <c r="R40" s="8">
        <f>R32*CapGainsPct</f>
        <v/>
      </c>
      <c r="S40" s="8">
        <f>S32*CapGainsPct</f>
        <v/>
      </c>
      <c r="T40" s="8">
        <f>T32*CapGainsPct</f>
        <v/>
      </c>
      <c r="U40" s="8">
        <f>U32*CapGainsPct</f>
        <v/>
      </c>
      <c r="V40" s="8">
        <f>V32*CapGainsPct</f>
        <v/>
      </c>
      <c r="W40" s="8">
        <f>W32*CapGainsPct</f>
        <v/>
      </c>
      <c r="X40" s="8">
        <f>X32*CapGainsPct</f>
        <v/>
      </c>
      <c r="Y40" s="8">
        <f>Y32*CapGainsPct</f>
        <v/>
      </c>
      <c r="Z40" s="8">
        <f>Z32*CapGainsPct</f>
        <v/>
      </c>
      <c r="AA40" s="8">
        <f>AA32*CapGainsPct</f>
        <v/>
      </c>
      <c r="AB40" s="8">
        <f>AB32*CapGainsPct</f>
        <v/>
      </c>
      <c r="AC40" s="8">
        <f>AC32*CapGainsPct</f>
        <v/>
      </c>
      <c r="AD40" s="8">
        <f>AD32*CapGainsPct</f>
        <v/>
      </c>
      <c r="AE40" s="8">
        <f>AE32*CapGainsPct</f>
        <v/>
      </c>
    </row>
    <row r="41">
      <c r="A41" s="11" t="inlineStr">
        <is>
          <t>Cap Gains @ 0%</t>
        </is>
      </c>
      <c r="B41" s="8">
        <f>MIN(B40,MAX(0,IF(B4,94050,47025)*(1+TaxBracketInflation)^0-B39))</f>
        <v/>
      </c>
      <c r="C41" s="8">
        <f>MIN(C40,MAX(0,IF(C4,94050,47025)*(1+TaxBracketInflation)^1-C39))</f>
        <v/>
      </c>
      <c r="D41" s="8">
        <f>MIN(D40,MAX(0,IF(D4,94050,47025)*(1+TaxBracketInflation)^2-D39))</f>
        <v/>
      </c>
      <c r="E41" s="8">
        <f>MIN(E40,MAX(0,IF(E4,94050,47025)*(1+TaxBracketInflation)^3-E39))</f>
        <v/>
      </c>
      <c r="F41" s="8">
        <f>MIN(F40,MAX(0,IF(F4,94050,47025)*(1+TaxBracketInflation)^4-F39))</f>
        <v/>
      </c>
      <c r="G41" s="8">
        <f>MIN(G40,MAX(0,IF(G4,94050,47025)*(1+TaxBracketInflation)^5-G39))</f>
        <v/>
      </c>
      <c r="H41" s="8">
        <f>MIN(H40,MAX(0,IF(H4,94050,47025)*(1+TaxBracketInflation)^6-H39))</f>
        <v/>
      </c>
      <c r="I41" s="8">
        <f>MIN(I40,MAX(0,IF(I4,94050,47025)*(1+TaxBracketInflation)^7-I39))</f>
        <v/>
      </c>
      <c r="J41" s="8">
        <f>MIN(J40,MAX(0,IF(J4,94050,47025)*(1+TaxBracketInflation)^8-J39))</f>
        <v/>
      </c>
      <c r="K41" s="8">
        <f>MIN(K40,MAX(0,IF(K4,94050,47025)*(1+TaxBracketInflation)^9-K39))</f>
        <v/>
      </c>
      <c r="L41" s="8">
        <f>MIN(L40,MAX(0,IF(L4,94050,47025)*(1+TaxBracketInflation)^10-L39))</f>
        <v/>
      </c>
      <c r="M41" s="8">
        <f>MIN(M40,MAX(0,IF(M4,94050,47025)*(1+TaxBracketInflation)^11-M39))</f>
        <v/>
      </c>
      <c r="N41" s="8">
        <f>MIN(N40,MAX(0,IF(N4,94050,47025)*(1+TaxBracketInflation)^12-N39))</f>
        <v/>
      </c>
      <c r="O41" s="8">
        <f>MIN(O40,MAX(0,IF(O4,94050,47025)*(1+TaxBracketInflation)^13-O39))</f>
        <v/>
      </c>
      <c r="P41" s="8">
        <f>MIN(P40,MAX(0,IF(P4,94050,47025)*(1+TaxBracketInflation)^14-P39))</f>
        <v/>
      </c>
      <c r="Q41" s="8">
        <f>MIN(Q40,MAX(0,IF(Q4,94050,47025)*(1+TaxBracketInflation)^15-Q39))</f>
        <v/>
      </c>
      <c r="R41" s="8">
        <f>MIN(R40,MAX(0,IF(R4,94050,47025)*(1+TaxBracketInflation)^16-R39))</f>
        <v/>
      </c>
      <c r="S41" s="8">
        <f>MIN(S40,MAX(0,IF(S4,94050,47025)*(1+TaxBracketInflation)^17-S39))</f>
        <v/>
      </c>
      <c r="T41" s="8">
        <f>MIN(T40,MAX(0,IF(T4,94050,47025)*(1+TaxBracketInflation)^18-T39))</f>
        <v/>
      </c>
      <c r="U41" s="8">
        <f>MIN(U40,MAX(0,IF(U4,94050,47025)*(1+TaxBracketInflation)^19-U39))</f>
        <v/>
      </c>
      <c r="V41" s="8">
        <f>MIN(V40,MAX(0,IF(V4,94050,47025)*(1+TaxBracketInflation)^20-V39))</f>
        <v/>
      </c>
      <c r="W41" s="8">
        <f>MIN(W40,MAX(0,IF(W4,94050,47025)*(1+TaxBracketInflation)^21-W39))</f>
        <v/>
      </c>
      <c r="X41" s="8">
        <f>MIN(X40,MAX(0,IF(X4,94050,47025)*(1+TaxBracketInflation)^22-X39))</f>
        <v/>
      </c>
      <c r="Y41" s="8">
        <f>MIN(Y40,MAX(0,IF(Y4,94050,47025)*(1+TaxBracketInflation)^23-Y39))</f>
        <v/>
      </c>
      <c r="Z41" s="8">
        <f>MIN(Z40,MAX(0,IF(Z4,94050,47025)*(1+TaxBracketInflation)^24-Z39))</f>
        <v/>
      </c>
      <c r="AA41" s="8">
        <f>MIN(AA40,MAX(0,IF(AA4,94050,47025)*(1+TaxBracketInflation)^25-AA39))</f>
        <v/>
      </c>
      <c r="AB41" s="8">
        <f>MIN(AB40,MAX(0,IF(AB4,94050,47025)*(1+TaxBracketInflation)^26-AB39))</f>
        <v/>
      </c>
      <c r="AC41" s="8">
        <f>MIN(AC40,MAX(0,IF(AC4,94050,47025)*(1+TaxBracketInflation)^27-AC39))</f>
        <v/>
      </c>
      <c r="AD41" s="8">
        <f>MIN(AD40,MAX(0,IF(AD4,94050,47025)*(1+TaxBracketInflation)^28-AD39))</f>
        <v/>
      </c>
      <c r="AE41" s="8">
        <f>MIN(AE40,MAX(0,IF(AE4,94050,47025)*(1+TaxBracketInflation)^29-AE39))</f>
        <v/>
      </c>
    </row>
    <row r="42">
      <c r="A42" s="11" t="inlineStr">
        <is>
          <t>Cap Gains @ 15%+</t>
        </is>
      </c>
      <c r="B42" s="8">
        <f>B40-B41</f>
        <v/>
      </c>
      <c r="C42" s="8">
        <f>C40-C41</f>
        <v/>
      </c>
      <c r="D42" s="8">
        <f>D40-D41</f>
        <v/>
      </c>
      <c r="E42" s="8">
        <f>E40-E41</f>
        <v/>
      </c>
      <c r="F42" s="8">
        <f>F40-F41</f>
        <v/>
      </c>
      <c r="G42" s="8">
        <f>G40-G41</f>
        <v/>
      </c>
      <c r="H42" s="8">
        <f>H40-H41</f>
        <v/>
      </c>
      <c r="I42" s="8">
        <f>I40-I41</f>
        <v/>
      </c>
      <c r="J42" s="8">
        <f>J40-J41</f>
        <v/>
      </c>
      <c r="K42" s="8">
        <f>K40-K41</f>
        <v/>
      </c>
      <c r="L42" s="8">
        <f>L40-L41</f>
        <v/>
      </c>
      <c r="M42" s="8">
        <f>M40-M41</f>
        <v/>
      </c>
      <c r="N42" s="8">
        <f>N40-N41</f>
        <v/>
      </c>
      <c r="O42" s="8">
        <f>O40-O41</f>
        <v/>
      </c>
      <c r="P42" s="8">
        <f>P40-P41</f>
        <v/>
      </c>
      <c r="Q42" s="8">
        <f>Q40-Q41</f>
        <v/>
      </c>
      <c r="R42" s="8">
        <f>R40-R41</f>
        <v/>
      </c>
      <c r="S42" s="8">
        <f>S40-S41</f>
        <v/>
      </c>
      <c r="T42" s="8">
        <f>T40-T41</f>
        <v/>
      </c>
      <c r="U42" s="8">
        <f>U40-U41</f>
        <v/>
      </c>
      <c r="V42" s="8">
        <f>V40-V41</f>
        <v/>
      </c>
      <c r="W42" s="8">
        <f>W40-W41</f>
        <v/>
      </c>
      <c r="X42" s="8">
        <f>X40-X41</f>
        <v/>
      </c>
      <c r="Y42" s="8">
        <f>Y40-Y41</f>
        <v/>
      </c>
      <c r="Z42" s="8">
        <f>Z40-Z41</f>
        <v/>
      </c>
      <c r="AA42" s="8">
        <f>AA40-AA41</f>
        <v/>
      </c>
      <c r="AB42" s="8">
        <f>AB40-AB41</f>
        <v/>
      </c>
      <c r="AC42" s="8">
        <f>AC40-AC41</f>
        <v/>
      </c>
      <c r="AD42" s="8">
        <f>AD40-AD41</f>
        <v/>
      </c>
      <c r="AE42" s="8">
        <f>AE40-AE41</f>
        <v/>
      </c>
    </row>
    <row r="43">
      <c r="A43" s="11" t="inlineStr">
        <is>
          <t>Fed Ordinary Tax</t>
        </is>
      </c>
      <c r="B43" s="8">
        <f>MIN(B39,IF(B4,23200,11600)*(1+TaxBracketInflation)^0)*0.1+MAX(0,MIN(B39,IF(B4,94300,47150)*(1+TaxBracketInflation)^0)-IF(B4,23200,11600)*(1+TaxBracketInflation)^0)*0.12+MAX(0,MIN(B39,IF(B4,201050,100525)*(1+TaxBracketInflation)^0)-IF(B4,94300,47150)*(1+TaxBracketInflation)^0)*0.22+MAX(0,MIN(B39,IF(B4,383900,191950)*(1+TaxBracketInflation)^0)-IF(B4,201050,100525)*(1+TaxBracketInflation)^0)*0.24+MAX(0,MIN(B39,IF(B4,487450,243725)*(1+TaxBracketInflation)^0)-IF(B4,383900,191950)*(1+TaxBracketInflation)^0)*0.32+MAX(0,MIN(B39,IF(B4,731200,609350)*(1+TaxBracketInflation)^0)-IF(B4,487450,243725)*(1+TaxBracketInflation)^0)*0.35+MAX(0,B39-IF(B4,731200,609350)*(1+TaxBracketInflation)^0)*0.37</f>
        <v/>
      </c>
      <c r="C43" s="8">
        <f>MIN(C39,IF(C4,23200,11600)*(1+TaxBracketInflation)^1)*0.1+MAX(0,MIN(C39,IF(C4,94300,47150)*(1+TaxBracketInflation)^1)-IF(C4,23200,11600)*(1+TaxBracketInflation)^1)*0.12+MAX(0,MIN(C39,IF(C4,201050,100525)*(1+TaxBracketInflation)^1)-IF(C4,94300,47150)*(1+TaxBracketInflation)^1)*0.22+MAX(0,MIN(C39,IF(C4,383900,191950)*(1+TaxBracketInflation)^1)-IF(C4,201050,100525)*(1+TaxBracketInflation)^1)*0.24+MAX(0,MIN(C39,IF(C4,487450,243725)*(1+TaxBracketInflation)^1)-IF(C4,383900,191950)*(1+TaxBracketInflation)^1)*0.32+MAX(0,MIN(C39,IF(C4,731200,609350)*(1+TaxBracketInflation)^1)-IF(C4,487450,243725)*(1+TaxBracketInflation)^1)*0.35+MAX(0,C39-IF(C4,731200,609350)*(1+TaxBracketInflation)^1)*0.37</f>
        <v/>
      </c>
      <c r="D43" s="8">
        <f>MIN(D39,IF(D4,23200,11600)*(1+TaxBracketInflation)^2)*0.1+MAX(0,MIN(D39,IF(D4,94300,47150)*(1+TaxBracketInflation)^2)-IF(D4,23200,11600)*(1+TaxBracketInflation)^2)*0.12+MAX(0,MIN(D39,IF(D4,201050,100525)*(1+TaxBracketInflation)^2)-IF(D4,94300,47150)*(1+TaxBracketInflation)^2)*0.22+MAX(0,MIN(D39,IF(D4,383900,191950)*(1+TaxBracketInflation)^2)-IF(D4,201050,100525)*(1+TaxBracketInflation)^2)*0.24+MAX(0,MIN(D39,IF(D4,487450,243725)*(1+TaxBracketInflation)^2)-IF(D4,383900,191950)*(1+TaxBracketInflation)^2)*0.32+MAX(0,MIN(D39,IF(D4,731200,609350)*(1+TaxBracketInflation)^2)-IF(D4,487450,243725)*(1+TaxBracketInflation)^2)*0.35+MAX(0,D39-IF(D4,731200,609350)*(1+TaxBracketInflation)^2)*0.37</f>
        <v/>
      </c>
      <c r="E43" s="8">
        <f>MIN(E39,IF(E4,23200,11600)*(1+TaxBracketInflation)^3)*0.1+MAX(0,MIN(E39,IF(E4,94300,47150)*(1+TaxBracketInflation)^3)-IF(E4,23200,11600)*(1+TaxBracketInflation)^3)*0.12+MAX(0,MIN(E39,IF(E4,201050,100525)*(1+TaxBracketInflation)^3)-IF(E4,94300,47150)*(1+TaxBracketInflation)^3)*0.22+MAX(0,MIN(E39,IF(E4,383900,191950)*(1+TaxBracketInflation)^3)-IF(E4,201050,100525)*(1+TaxBracketInflation)^3)*0.24+MAX(0,MIN(E39,IF(E4,487450,243725)*(1+TaxBracketInflation)^3)-IF(E4,383900,191950)*(1+TaxBracketInflation)^3)*0.32+MAX(0,MIN(E39,IF(E4,731200,609350)*(1+TaxBracketInflation)^3)-IF(E4,487450,243725)*(1+TaxBracketInflation)^3)*0.35+MAX(0,E39-IF(E4,731200,609350)*(1+TaxBracketInflation)^3)*0.37</f>
        <v/>
      </c>
      <c r="F43" s="8">
        <f>MIN(F39,IF(F4,23200,11600)*(1+TaxBracketInflation)^4)*0.1+MAX(0,MIN(F39,IF(F4,94300,47150)*(1+TaxBracketInflation)^4)-IF(F4,23200,11600)*(1+TaxBracketInflation)^4)*0.12+MAX(0,MIN(F39,IF(F4,201050,100525)*(1+TaxBracketInflation)^4)-IF(F4,94300,47150)*(1+TaxBracketInflation)^4)*0.22+MAX(0,MIN(F39,IF(F4,383900,191950)*(1+TaxBracketInflation)^4)-IF(F4,201050,100525)*(1+TaxBracketInflation)^4)*0.24+MAX(0,MIN(F39,IF(F4,487450,243725)*(1+TaxBracketInflation)^4)-IF(F4,383900,191950)*(1+TaxBracketInflation)^4)*0.32+MAX(0,MIN(F39,IF(F4,731200,609350)*(1+TaxBracketInflation)^4)-IF(F4,487450,243725)*(1+TaxBracketInflation)^4)*0.35+MAX(0,F39-IF(F4,731200,609350)*(1+TaxBracketInflation)^4)*0.37</f>
        <v/>
      </c>
      <c r="G43" s="8">
        <f>MIN(G39,IF(G4,23200,11600)*(1+TaxBracketInflation)^5)*0.1+MAX(0,MIN(G39,IF(G4,94300,47150)*(1+TaxBracketInflation)^5)-IF(G4,23200,11600)*(1+TaxBracketInflation)^5)*0.12+MAX(0,MIN(G39,IF(G4,201050,100525)*(1+TaxBracketInflation)^5)-IF(G4,94300,47150)*(1+TaxBracketInflation)^5)*0.22+MAX(0,MIN(G39,IF(G4,383900,191950)*(1+TaxBracketInflation)^5)-IF(G4,201050,100525)*(1+TaxBracketInflation)^5)*0.24+MAX(0,MIN(G39,IF(G4,487450,243725)*(1+TaxBracketInflation)^5)-IF(G4,383900,191950)*(1+TaxBracketInflation)^5)*0.32+MAX(0,MIN(G39,IF(G4,731200,609350)*(1+TaxBracketInflation)^5)-IF(G4,487450,243725)*(1+TaxBracketInflation)^5)*0.35+MAX(0,G39-IF(G4,731200,609350)*(1+TaxBracketInflation)^5)*0.37</f>
        <v/>
      </c>
      <c r="H43" s="8">
        <f>MIN(H39,IF(H4,23200,11600)*(1+TaxBracketInflation)^6)*0.1+MAX(0,MIN(H39,IF(H4,94300,47150)*(1+TaxBracketInflation)^6)-IF(H4,23200,11600)*(1+TaxBracketInflation)^6)*0.12+MAX(0,MIN(H39,IF(H4,201050,100525)*(1+TaxBracketInflation)^6)-IF(H4,94300,47150)*(1+TaxBracketInflation)^6)*0.22+MAX(0,MIN(H39,IF(H4,383900,191950)*(1+TaxBracketInflation)^6)-IF(H4,201050,100525)*(1+TaxBracketInflation)^6)*0.24+MAX(0,MIN(H39,IF(H4,487450,243725)*(1+TaxBracketInflation)^6)-IF(H4,383900,191950)*(1+TaxBracketInflation)^6)*0.32+MAX(0,MIN(H39,IF(H4,731200,609350)*(1+TaxBracketInflation)^6)-IF(H4,487450,243725)*(1+TaxBracketInflation)^6)*0.35+MAX(0,H39-IF(H4,731200,609350)*(1+TaxBracketInflation)^6)*0.37</f>
        <v/>
      </c>
      <c r="I43" s="8">
        <f>MIN(I39,IF(I4,23200,11600)*(1+TaxBracketInflation)^7)*0.1+MAX(0,MIN(I39,IF(I4,94300,47150)*(1+TaxBracketInflation)^7)-IF(I4,23200,11600)*(1+TaxBracketInflation)^7)*0.12+MAX(0,MIN(I39,IF(I4,201050,100525)*(1+TaxBracketInflation)^7)-IF(I4,94300,47150)*(1+TaxBracketInflation)^7)*0.22+MAX(0,MIN(I39,IF(I4,383900,191950)*(1+TaxBracketInflation)^7)-IF(I4,201050,100525)*(1+TaxBracketInflation)^7)*0.24+MAX(0,MIN(I39,IF(I4,487450,243725)*(1+TaxBracketInflation)^7)-IF(I4,383900,191950)*(1+TaxBracketInflation)^7)*0.32+MAX(0,MIN(I39,IF(I4,731200,609350)*(1+TaxBracketInflation)^7)-IF(I4,487450,243725)*(1+TaxBracketInflation)^7)*0.35+MAX(0,I39-IF(I4,731200,609350)*(1+TaxBracketInflation)^7)*0.37</f>
        <v/>
      </c>
      <c r="J43" s="8">
        <f>MIN(J39,IF(J4,23200,11600)*(1+TaxBracketInflation)^8)*0.1+MAX(0,MIN(J39,IF(J4,94300,47150)*(1+TaxBracketInflation)^8)-IF(J4,23200,11600)*(1+TaxBracketInflation)^8)*0.12+MAX(0,MIN(J39,IF(J4,201050,100525)*(1+TaxBracketInflation)^8)-IF(J4,94300,47150)*(1+TaxBracketInflation)^8)*0.22+MAX(0,MIN(J39,IF(J4,383900,191950)*(1+TaxBracketInflation)^8)-IF(J4,201050,100525)*(1+TaxBracketInflation)^8)*0.24+MAX(0,MIN(J39,IF(J4,487450,243725)*(1+TaxBracketInflation)^8)-IF(J4,383900,191950)*(1+TaxBracketInflation)^8)*0.32+MAX(0,MIN(J39,IF(J4,731200,609350)*(1+TaxBracketInflation)^8)-IF(J4,487450,243725)*(1+TaxBracketInflation)^8)*0.35+MAX(0,J39-IF(J4,731200,609350)*(1+TaxBracketInflation)^8)*0.37</f>
        <v/>
      </c>
      <c r="K43" s="8">
        <f>MIN(K39,IF(K4,23200,11600)*(1+TaxBracketInflation)^9)*0.1+MAX(0,MIN(K39,IF(K4,94300,47150)*(1+TaxBracketInflation)^9)-IF(K4,23200,11600)*(1+TaxBracketInflation)^9)*0.12+MAX(0,MIN(K39,IF(K4,201050,100525)*(1+TaxBracketInflation)^9)-IF(K4,94300,47150)*(1+TaxBracketInflation)^9)*0.22+MAX(0,MIN(K39,IF(K4,383900,191950)*(1+TaxBracketInflation)^9)-IF(K4,201050,100525)*(1+TaxBracketInflation)^9)*0.24+MAX(0,MIN(K39,IF(K4,487450,243725)*(1+TaxBracketInflation)^9)-IF(K4,383900,191950)*(1+TaxBracketInflation)^9)*0.32+MAX(0,MIN(K39,IF(K4,731200,609350)*(1+TaxBracketInflation)^9)-IF(K4,487450,243725)*(1+TaxBracketInflation)^9)*0.35+MAX(0,K39-IF(K4,731200,609350)*(1+TaxBracketInflation)^9)*0.37</f>
        <v/>
      </c>
      <c r="L43" s="8">
        <f>MIN(L39,IF(L4,23200,11600)*(1+TaxBracketInflation)^10)*0.1+MAX(0,MIN(L39,IF(L4,94300,47150)*(1+TaxBracketInflation)^10)-IF(L4,23200,11600)*(1+TaxBracketInflation)^10)*0.12+MAX(0,MIN(L39,IF(L4,201050,100525)*(1+TaxBracketInflation)^10)-IF(L4,94300,47150)*(1+TaxBracketInflation)^10)*0.22+MAX(0,MIN(L39,IF(L4,383900,191950)*(1+TaxBracketInflation)^10)-IF(L4,201050,100525)*(1+TaxBracketInflation)^10)*0.24+MAX(0,MIN(L39,IF(L4,487450,243725)*(1+TaxBracketInflation)^10)-IF(L4,383900,191950)*(1+TaxBracketInflation)^10)*0.32+MAX(0,MIN(L39,IF(L4,731200,609350)*(1+TaxBracketInflation)^10)-IF(L4,487450,243725)*(1+TaxBracketInflation)^10)*0.35+MAX(0,L39-IF(L4,731200,609350)*(1+TaxBracketInflation)^10)*0.37</f>
        <v/>
      </c>
      <c r="M43" s="8">
        <f>MIN(M39,IF(M4,23200,11600)*(1+TaxBracketInflation)^11)*0.1+MAX(0,MIN(M39,IF(M4,94300,47150)*(1+TaxBracketInflation)^11)-IF(M4,23200,11600)*(1+TaxBracketInflation)^11)*0.12+MAX(0,MIN(M39,IF(M4,201050,100525)*(1+TaxBracketInflation)^11)-IF(M4,94300,47150)*(1+TaxBracketInflation)^11)*0.22+MAX(0,MIN(M39,IF(M4,383900,191950)*(1+TaxBracketInflation)^11)-IF(M4,201050,100525)*(1+TaxBracketInflation)^11)*0.24+MAX(0,MIN(M39,IF(M4,487450,243725)*(1+TaxBracketInflation)^11)-IF(M4,383900,191950)*(1+TaxBracketInflation)^11)*0.32+MAX(0,MIN(M39,IF(M4,731200,609350)*(1+TaxBracketInflation)^11)-IF(M4,487450,243725)*(1+TaxBracketInflation)^11)*0.35+MAX(0,M39-IF(M4,731200,609350)*(1+TaxBracketInflation)^11)*0.37</f>
        <v/>
      </c>
      <c r="N43" s="8">
        <f>MIN(N39,IF(N4,23200,11600)*(1+TaxBracketInflation)^12)*0.1+MAX(0,MIN(N39,IF(N4,94300,47150)*(1+TaxBracketInflation)^12)-IF(N4,23200,11600)*(1+TaxBracketInflation)^12)*0.12+MAX(0,MIN(N39,IF(N4,201050,100525)*(1+TaxBracketInflation)^12)-IF(N4,94300,47150)*(1+TaxBracketInflation)^12)*0.22+MAX(0,MIN(N39,IF(N4,383900,191950)*(1+TaxBracketInflation)^12)-IF(N4,201050,100525)*(1+TaxBracketInflation)^12)*0.24+MAX(0,MIN(N39,IF(N4,487450,243725)*(1+TaxBracketInflation)^12)-IF(N4,383900,191950)*(1+TaxBracketInflation)^12)*0.32+MAX(0,MIN(N39,IF(N4,731200,609350)*(1+TaxBracketInflation)^12)-IF(N4,487450,243725)*(1+TaxBracketInflation)^12)*0.35+MAX(0,N39-IF(N4,731200,609350)*(1+TaxBracketInflation)^12)*0.37</f>
        <v/>
      </c>
      <c r="O43" s="8">
        <f>MIN(O39,IF(O4,23200,11600)*(1+TaxBracketInflation)^13)*0.1+MAX(0,MIN(O39,IF(O4,94300,47150)*(1+TaxBracketInflation)^13)-IF(O4,23200,11600)*(1+TaxBracketInflation)^13)*0.12+MAX(0,MIN(O39,IF(O4,201050,100525)*(1+TaxBracketInflation)^13)-IF(O4,94300,47150)*(1+TaxBracketInflation)^13)*0.22+MAX(0,MIN(O39,IF(O4,383900,191950)*(1+TaxBracketInflation)^13)-IF(O4,201050,100525)*(1+TaxBracketInflation)^13)*0.24+MAX(0,MIN(O39,IF(O4,487450,243725)*(1+TaxBracketInflation)^13)-IF(O4,383900,191950)*(1+TaxBracketInflation)^13)*0.32+MAX(0,MIN(O39,IF(O4,731200,609350)*(1+TaxBracketInflation)^13)-IF(O4,487450,243725)*(1+TaxBracketInflation)^13)*0.35+MAX(0,O39-IF(O4,731200,609350)*(1+TaxBracketInflation)^13)*0.37</f>
        <v/>
      </c>
      <c r="P43" s="8">
        <f>MIN(P39,IF(P4,23200,11600)*(1+TaxBracketInflation)^14)*0.1+MAX(0,MIN(P39,IF(P4,94300,47150)*(1+TaxBracketInflation)^14)-IF(P4,23200,11600)*(1+TaxBracketInflation)^14)*0.12+MAX(0,MIN(P39,IF(P4,201050,100525)*(1+TaxBracketInflation)^14)-IF(P4,94300,47150)*(1+TaxBracketInflation)^14)*0.22+MAX(0,MIN(P39,IF(P4,383900,191950)*(1+TaxBracketInflation)^14)-IF(P4,201050,100525)*(1+TaxBracketInflation)^14)*0.24+MAX(0,MIN(P39,IF(P4,487450,243725)*(1+TaxBracketInflation)^14)-IF(P4,383900,191950)*(1+TaxBracketInflation)^14)*0.32+MAX(0,MIN(P39,IF(P4,731200,609350)*(1+TaxBracketInflation)^14)-IF(P4,487450,243725)*(1+TaxBracketInflation)^14)*0.35+MAX(0,P39-IF(P4,731200,609350)*(1+TaxBracketInflation)^14)*0.37</f>
        <v/>
      </c>
      <c r="Q43" s="8">
        <f>MIN(Q39,IF(Q4,23200,11600)*(1+TaxBracketInflation)^15)*0.1+MAX(0,MIN(Q39,IF(Q4,94300,47150)*(1+TaxBracketInflation)^15)-IF(Q4,23200,11600)*(1+TaxBracketInflation)^15)*0.12+MAX(0,MIN(Q39,IF(Q4,201050,100525)*(1+TaxBracketInflation)^15)-IF(Q4,94300,47150)*(1+TaxBracketInflation)^15)*0.22+MAX(0,MIN(Q39,IF(Q4,383900,191950)*(1+TaxBracketInflation)^15)-IF(Q4,201050,100525)*(1+TaxBracketInflation)^15)*0.24+MAX(0,MIN(Q39,IF(Q4,487450,243725)*(1+TaxBracketInflation)^15)-IF(Q4,383900,191950)*(1+TaxBracketInflation)^15)*0.32+MAX(0,MIN(Q39,IF(Q4,731200,609350)*(1+TaxBracketInflation)^15)-IF(Q4,487450,243725)*(1+TaxBracketInflation)^15)*0.35+MAX(0,Q39-IF(Q4,731200,609350)*(1+TaxBracketInflation)^15)*0.37</f>
        <v/>
      </c>
      <c r="R43" s="8">
        <f>MIN(R39,IF(R4,23200,11600)*(1+TaxBracketInflation)^16)*0.1+MAX(0,MIN(R39,IF(R4,94300,47150)*(1+TaxBracketInflation)^16)-IF(R4,23200,11600)*(1+TaxBracketInflation)^16)*0.12+MAX(0,MIN(R39,IF(R4,201050,100525)*(1+TaxBracketInflation)^16)-IF(R4,94300,47150)*(1+TaxBracketInflation)^16)*0.22+MAX(0,MIN(R39,IF(R4,383900,191950)*(1+TaxBracketInflation)^16)-IF(R4,201050,100525)*(1+TaxBracketInflation)^16)*0.24+MAX(0,MIN(R39,IF(R4,487450,243725)*(1+TaxBracketInflation)^16)-IF(R4,383900,191950)*(1+TaxBracketInflation)^16)*0.32+MAX(0,MIN(R39,IF(R4,731200,609350)*(1+TaxBracketInflation)^16)-IF(R4,487450,243725)*(1+TaxBracketInflation)^16)*0.35+MAX(0,R39-IF(R4,731200,609350)*(1+TaxBracketInflation)^16)*0.37</f>
        <v/>
      </c>
      <c r="S43" s="8">
        <f>MIN(S39,IF(S4,23200,11600)*(1+TaxBracketInflation)^17)*0.1+MAX(0,MIN(S39,IF(S4,94300,47150)*(1+TaxBracketInflation)^17)-IF(S4,23200,11600)*(1+TaxBracketInflation)^17)*0.12+MAX(0,MIN(S39,IF(S4,201050,100525)*(1+TaxBracketInflation)^17)-IF(S4,94300,47150)*(1+TaxBracketInflation)^17)*0.22+MAX(0,MIN(S39,IF(S4,383900,191950)*(1+TaxBracketInflation)^17)-IF(S4,201050,100525)*(1+TaxBracketInflation)^17)*0.24+MAX(0,MIN(S39,IF(S4,487450,243725)*(1+TaxBracketInflation)^17)-IF(S4,383900,191950)*(1+TaxBracketInflation)^17)*0.32+MAX(0,MIN(S39,IF(S4,731200,609350)*(1+TaxBracketInflation)^17)-IF(S4,487450,243725)*(1+TaxBracketInflation)^17)*0.35+MAX(0,S39-IF(S4,731200,609350)*(1+TaxBracketInflation)^17)*0.37</f>
        <v/>
      </c>
      <c r="T43" s="8">
        <f>MIN(T39,IF(T4,23200,11600)*(1+TaxBracketInflation)^18)*0.1+MAX(0,MIN(T39,IF(T4,94300,47150)*(1+TaxBracketInflation)^18)-IF(T4,23200,11600)*(1+TaxBracketInflation)^18)*0.12+MAX(0,MIN(T39,IF(T4,201050,100525)*(1+TaxBracketInflation)^18)-IF(T4,94300,47150)*(1+TaxBracketInflation)^18)*0.22+MAX(0,MIN(T39,IF(T4,383900,191950)*(1+TaxBracketInflation)^18)-IF(T4,201050,100525)*(1+TaxBracketInflation)^18)*0.24+MAX(0,MIN(T39,IF(T4,487450,243725)*(1+TaxBracketInflation)^18)-IF(T4,383900,191950)*(1+TaxBracketInflation)^18)*0.32+MAX(0,MIN(T39,IF(T4,731200,609350)*(1+TaxBracketInflation)^18)-IF(T4,487450,243725)*(1+TaxBracketInflation)^18)*0.35+MAX(0,T39-IF(T4,731200,609350)*(1+TaxBracketInflation)^18)*0.37</f>
        <v/>
      </c>
      <c r="U43" s="8">
        <f>MIN(U39,IF(U4,23200,11600)*(1+TaxBracketInflation)^19)*0.1+MAX(0,MIN(U39,IF(U4,94300,47150)*(1+TaxBracketInflation)^19)-IF(U4,23200,11600)*(1+TaxBracketInflation)^19)*0.12+MAX(0,MIN(U39,IF(U4,201050,100525)*(1+TaxBracketInflation)^19)-IF(U4,94300,47150)*(1+TaxBracketInflation)^19)*0.22+MAX(0,MIN(U39,IF(U4,383900,191950)*(1+TaxBracketInflation)^19)-IF(U4,201050,100525)*(1+TaxBracketInflation)^19)*0.24+MAX(0,MIN(U39,IF(U4,487450,243725)*(1+TaxBracketInflation)^19)-IF(U4,383900,191950)*(1+TaxBracketInflation)^19)*0.32+MAX(0,MIN(U39,IF(U4,731200,609350)*(1+TaxBracketInflation)^19)-IF(U4,487450,243725)*(1+TaxBracketInflation)^19)*0.35+MAX(0,U39-IF(U4,731200,609350)*(1+TaxBracketInflation)^19)*0.37</f>
        <v/>
      </c>
      <c r="V43" s="8">
        <f>MIN(V39,IF(V4,23200,11600)*(1+TaxBracketInflation)^20)*0.1+MAX(0,MIN(V39,IF(V4,94300,47150)*(1+TaxBracketInflation)^20)-IF(V4,23200,11600)*(1+TaxBracketInflation)^20)*0.12+MAX(0,MIN(V39,IF(V4,201050,100525)*(1+TaxBracketInflation)^20)-IF(V4,94300,47150)*(1+TaxBracketInflation)^20)*0.22+MAX(0,MIN(V39,IF(V4,383900,191950)*(1+TaxBracketInflation)^20)-IF(V4,201050,100525)*(1+TaxBracketInflation)^20)*0.24+MAX(0,MIN(V39,IF(V4,487450,243725)*(1+TaxBracketInflation)^20)-IF(V4,383900,191950)*(1+TaxBracketInflation)^20)*0.32+MAX(0,MIN(V39,IF(V4,731200,609350)*(1+TaxBracketInflation)^20)-IF(V4,487450,243725)*(1+TaxBracketInflation)^20)*0.35+MAX(0,V39-IF(V4,731200,609350)*(1+TaxBracketInflation)^20)*0.37</f>
        <v/>
      </c>
      <c r="W43" s="8">
        <f>MIN(W39,IF(W4,23200,11600)*(1+TaxBracketInflation)^21)*0.1+MAX(0,MIN(W39,IF(W4,94300,47150)*(1+TaxBracketInflation)^21)-IF(W4,23200,11600)*(1+TaxBracketInflation)^21)*0.12+MAX(0,MIN(W39,IF(W4,201050,100525)*(1+TaxBracketInflation)^21)-IF(W4,94300,47150)*(1+TaxBracketInflation)^21)*0.22+MAX(0,MIN(W39,IF(W4,383900,191950)*(1+TaxBracketInflation)^21)-IF(W4,201050,100525)*(1+TaxBracketInflation)^21)*0.24+MAX(0,MIN(W39,IF(W4,487450,243725)*(1+TaxBracketInflation)^21)-IF(W4,383900,191950)*(1+TaxBracketInflation)^21)*0.32+MAX(0,MIN(W39,IF(W4,731200,609350)*(1+TaxBracketInflation)^21)-IF(W4,487450,243725)*(1+TaxBracketInflation)^21)*0.35+MAX(0,W39-IF(W4,731200,609350)*(1+TaxBracketInflation)^21)*0.37</f>
        <v/>
      </c>
      <c r="X43" s="8">
        <f>MIN(X39,IF(X4,23200,11600)*(1+TaxBracketInflation)^22)*0.1+MAX(0,MIN(X39,IF(X4,94300,47150)*(1+TaxBracketInflation)^22)-IF(X4,23200,11600)*(1+TaxBracketInflation)^22)*0.12+MAX(0,MIN(X39,IF(X4,201050,100525)*(1+TaxBracketInflation)^22)-IF(X4,94300,47150)*(1+TaxBracketInflation)^22)*0.22+MAX(0,MIN(X39,IF(X4,383900,191950)*(1+TaxBracketInflation)^22)-IF(X4,201050,100525)*(1+TaxBracketInflation)^22)*0.24+MAX(0,MIN(X39,IF(X4,487450,243725)*(1+TaxBracketInflation)^22)-IF(X4,383900,191950)*(1+TaxBracketInflation)^22)*0.32+MAX(0,MIN(X39,IF(X4,731200,609350)*(1+TaxBracketInflation)^22)-IF(X4,487450,243725)*(1+TaxBracketInflation)^22)*0.35+MAX(0,X39-IF(X4,731200,609350)*(1+TaxBracketInflation)^22)*0.37</f>
        <v/>
      </c>
      <c r="Y43" s="8">
        <f>MIN(Y39,IF(Y4,23200,11600)*(1+TaxBracketInflation)^23)*0.1+MAX(0,MIN(Y39,IF(Y4,94300,47150)*(1+TaxBracketInflation)^23)-IF(Y4,23200,11600)*(1+TaxBracketInflation)^23)*0.12+MAX(0,MIN(Y39,IF(Y4,201050,100525)*(1+TaxBracketInflation)^23)-IF(Y4,94300,47150)*(1+TaxBracketInflation)^23)*0.22+MAX(0,MIN(Y39,IF(Y4,383900,191950)*(1+TaxBracketInflation)^23)-IF(Y4,201050,100525)*(1+TaxBracketInflation)^23)*0.24+MAX(0,MIN(Y39,IF(Y4,487450,243725)*(1+TaxBracketInflation)^23)-IF(Y4,383900,191950)*(1+TaxBracketInflation)^23)*0.32+MAX(0,MIN(Y39,IF(Y4,731200,609350)*(1+TaxBracketInflation)^23)-IF(Y4,487450,243725)*(1+TaxBracketInflation)^23)*0.35+MAX(0,Y39-IF(Y4,731200,609350)*(1+TaxBracketInflation)^23)*0.37</f>
        <v/>
      </c>
      <c r="Z43" s="8">
        <f>MIN(Z39,IF(Z4,23200,11600)*(1+TaxBracketInflation)^24)*0.1+MAX(0,MIN(Z39,IF(Z4,94300,47150)*(1+TaxBracketInflation)^24)-IF(Z4,23200,11600)*(1+TaxBracketInflation)^24)*0.12+MAX(0,MIN(Z39,IF(Z4,201050,100525)*(1+TaxBracketInflation)^24)-IF(Z4,94300,47150)*(1+TaxBracketInflation)^24)*0.22+MAX(0,MIN(Z39,IF(Z4,383900,191950)*(1+TaxBracketInflation)^24)-IF(Z4,201050,100525)*(1+TaxBracketInflation)^24)*0.24+MAX(0,MIN(Z39,IF(Z4,487450,243725)*(1+TaxBracketInflation)^24)-IF(Z4,383900,191950)*(1+TaxBracketInflation)^24)*0.32+MAX(0,MIN(Z39,IF(Z4,731200,609350)*(1+TaxBracketInflation)^24)-IF(Z4,487450,243725)*(1+TaxBracketInflation)^24)*0.35+MAX(0,Z39-IF(Z4,731200,609350)*(1+TaxBracketInflation)^24)*0.37</f>
        <v/>
      </c>
      <c r="AA43" s="8">
        <f>MIN(AA39,IF(AA4,23200,11600)*(1+TaxBracketInflation)^25)*0.1+MAX(0,MIN(AA39,IF(AA4,94300,47150)*(1+TaxBracketInflation)^25)-IF(AA4,23200,11600)*(1+TaxBracketInflation)^25)*0.12+MAX(0,MIN(AA39,IF(AA4,201050,100525)*(1+TaxBracketInflation)^25)-IF(AA4,94300,47150)*(1+TaxBracketInflation)^25)*0.22+MAX(0,MIN(AA39,IF(AA4,383900,191950)*(1+TaxBracketInflation)^25)-IF(AA4,201050,100525)*(1+TaxBracketInflation)^25)*0.24+MAX(0,MIN(AA39,IF(AA4,487450,243725)*(1+TaxBracketInflation)^25)-IF(AA4,383900,191950)*(1+TaxBracketInflation)^25)*0.32+MAX(0,MIN(AA39,IF(AA4,731200,609350)*(1+TaxBracketInflation)^25)-IF(AA4,487450,243725)*(1+TaxBracketInflation)^25)*0.35+MAX(0,AA39-IF(AA4,731200,609350)*(1+TaxBracketInflation)^25)*0.37</f>
        <v/>
      </c>
      <c r="AB43" s="8">
        <f>MIN(AB39,IF(AB4,23200,11600)*(1+TaxBracketInflation)^26)*0.1+MAX(0,MIN(AB39,IF(AB4,94300,47150)*(1+TaxBracketInflation)^26)-IF(AB4,23200,11600)*(1+TaxBracketInflation)^26)*0.12+MAX(0,MIN(AB39,IF(AB4,201050,100525)*(1+TaxBracketInflation)^26)-IF(AB4,94300,47150)*(1+TaxBracketInflation)^26)*0.22+MAX(0,MIN(AB39,IF(AB4,383900,191950)*(1+TaxBracketInflation)^26)-IF(AB4,201050,100525)*(1+TaxBracketInflation)^26)*0.24+MAX(0,MIN(AB39,IF(AB4,487450,243725)*(1+TaxBracketInflation)^26)-IF(AB4,383900,191950)*(1+TaxBracketInflation)^26)*0.32+MAX(0,MIN(AB39,IF(AB4,731200,609350)*(1+TaxBracketInflation)^26)-IF(AB4,487450,243725)*(1+TaxBracketInflation)^26)*0.35+MAX(0,AB39-IF(AB4,731200,609350)*(1+TaxBracketInflation)^26)*0.37</f>
        <v/>
      </c>
      <c r="AC43" s="8">
        <f>MIN(AC39,IF(AC4,23200,11600)*(1+TaxBracketInflation)^27)*0.1+MAX(0,MIN(AC39,IF(AC4,94300,47150)*(1+TaxBracketInflation)^27)-IF(AC4,23200,11600)*(1+TaxBracketInflation)^27)*0.12+MAX(0,MIN(AC39,IF(AC4,201050,100525)*(1+TaxBracketInflation)^27)-IF(AC4,94300,47150)*(1+TaxBracketInflation)^27)*0.22+MAX(0,MIN(AC39,IF(AC4,383900,191950)*(1+TaxBracketInflation)^27)-IF(AC4,201050,100525)*(1+TaxBracketInflation)^27)*0.24+MAX(0,MIN(AC39,IF(AC4,487450,243725)*(1+TaxBracketInflation)^27)-IF(AC4,383900,191950)*(1+TaxBracketInflation)^27)*0.32+MAX(0,MIN(AC39,IF(AC4,731200,609350)*(1+TaxBracketInflation)^27)-IF(AC4,487450,243725)*(1+TaxBracketInflation)^27)*0.35+MAX(0,AC39-IF(AC4,731200,609350)*(1+TaxBracketInflation)^27)*0.37</f>
        <v/>
      </c>
      <c r="AD43" s="8">
        <f>MIN(AD39,IF(AD4,23200,11600)*(1+TaxBracketInflation)^28)*0.1+MAX(0,MIN(AD39,IF(AD4,94300,47150)*(1+TaxBracketInflation)^28)-IF(AD4,23200,11600)*(1+TaxBracketInflation)^28)*0.12+MAX(0,MIN(AD39,IF(AD4,201050,100525)*(1+TaxBracketInflation)^28)-IF(AD4,94300,47150)*(1+TaxBracketInflation)^28)*0.22+MAX(0,MIN(AD39,IF(AD4,383900,191950)*(1+TaxBracketInflation)^28)-IF(AD4,201050,100525)*(1+TaxBracketInflation)^28)*0.24+MAX(0,MIN(AD39,IF(AD4,487450,243725)*(1+TaxBracketInflation)^28)-IF(AD4,383900,191950)*(1+TaxBracketInflation)^28)*0.32+MAX(0,MIN(AD39,IF(AD4,731200,609350)*(1+TaxBracketInflation)^28)-IF(AD4,487450,243725)*(1+TaxBracketInflation)^28)*0.35+MAX(0,AD39-IF(AD4,731200,609350)*(1+TaxBracketInflation)^28)*0.37</f>
        <v/>
      </c>
      <c r="AE43" s="8">
        <f>MIN(AE39,IF(AE4,23200,11600)*(1+TaxBracketInflation)^29)*0.1+MAX(0,MIN(AE39,IF(AE4,94300,47150)*(1+TaxBracketInflation)^29)-IF(AE4,23200,11600)*(1+TaxBracketInflation)^29)*0.12+MAX(0,MIN(AE39,IF(AE4,201050,100525)*(1+TaxBracketInflation)^29)-IF(AE4,94300,47150)*(1+TaxBracketInflation)^29)*0.22+MAX(0,MIN(AE39,IF(AE4,383900,191950)*(1+TaxBracketInflation)^29)-IF(AE4,201050,100525)*(1+TaxBracketInflation)^29)*0.24+MAX(0,MIN(AE39,IF(AE4,487450,243725)*(1+TaxBracketInflation)^29)-IF(AE4,383900,191950)*(1+TaxBracketInflation)^29)*0.32+MAX(0,MIN(AE39,IF(AE4,731200,609350)*(1+TaxBracketInflation)^29)-IF(AE4,487450,243725)*(1+TaxBracketInflation)^29)*0.35+MAX(0,AE39-IF(AE4,731200,609350)*(1+TaxBracketInflation)^29)*0.37</f>
        <v/>
      </c>
    </row>
    <row r="44">
      <c r="A44" s="11" t="inlineStr">
        <is>
          <t>Fed Cap Gains Tax</t>
        </is>
      </c>
      <c r="B44" s="8">
        <f>(B42-MIN(B42,MAX(0,(B39+B40)-IF(B4,583750,518900)*(1+TaxBracketInflation)^0)))*0.15+(MIN(B42,MAX(0,(B39+B40)-IF(B4,583750,518900)*(1+TaxBracketInflation)^0)))*0.20</f>
        <v/>
      </c>
      <c r="C44" s="8">
        <f>(C42-MIN(C42,MAX(0,(C39+C40)-IF(C4,583750,518900)*(1+TaxBracketInflation)^1)))*0.15+(MIN(C42,MAX(0,(C39+C40)-IF(C4,583750,518900)*(1+TaxBracketInflation)^1)))*0.20</f>
        <v/>
      </c>
      <c r="D44" s="8">
        <f>(D42-MIN(D42,MAX(0,(D39+D40)-IF(D4,583750,518900)*(1+TaxBracketInflation)^2)))*0.15+(MIN(D42,MAX(0,(D39+D40)-IF(D4,583750,518900)*(1+TaxBracketInflation)^2)))*0.20</f>
        <v/>
      </c>
      <c r="E44" s="8">
        <f>(E42-MIN(E42,MAX(0,(E39+E40)-IF(E4,583750,518900)*(1+TaxBracketInflation)^3)))*0.15+(MIN(E42,MAX(0,(E39+E40)-IF(E4,583750,518900)*(1+TaxBracketInflation)^3)))*0.20</f>
        <v/>
      </c>
      <c r="F44" s="8">
        <f>(F42-MIN(F42,MAX(0,(F39+F40)-IF(F4,583750,518900)*(1+TaxBracketInflation)^4)))*0.15+(MIN(F42,MAX(0,(F39+F40)-IF(F4,583750,518900)*(1+TaxBracketInflation)^4)))*0.20</f>
        <v/>
      </c>
      <c r="G44" s="8">
        <f>(G42-MIN(G42,MAX(0,(G39+G40)-IF(G4,583750,518900)*(1+TaxBracketInflation)^5)))*0.15+(MIN(G42,MAX(0,(G39+G40)-IF(G4,583750,518900)*(1+TaxBracketInflation)^5)))*0.20</f>
        <v/>
      </c>
      <c r="H44" s="8">
        <f>(H42-MIN(H42,MAX(0,(H39+H40)-IF(H4,583750,518900)*(1+TaxBracketInflation)^6)))*0.15+(MIN(H42,MAX(0,(H39+H40)-IF(H4,583750,518900)*(1+TaxBracketInflation)^6)))*0.20</f>
        <v/>
      </c>
      <c r="I44" s="8">
        <f>(I42-MIN(I42,MAX(0,(I39+I40)-IF(I4,583750,518900)*(1+TaxBracketInflation)^7)))*0.15+(MIN(I42,MAX(0,(I39+I40)-IF(I4,583750,518900)*(1+TaxBracketInflation)^7)))*0.20</f>
        <v/>
      </c>
      <c r="J44" s="8">
        <f>(J42-MIN(J42,MAX(0,(J39+J40)-IF(J4,583750,518900)*(1+TaxBracketInflation)^8)))*0.15+(MIN(J42,MAX(0,(J39+J40)-IF(J4,583750,518900)*(1+TaxBracketInflation)^8)))*0.20</f>
        <v/>
      </c>
      <c r="K44" s="8">
        <f>(K42-MIN(K42,MAX(0,(K39+K40)-IF(K4,583750,518900)*(1+TaxBracketInflation)^9)))*0.15+(MIN(K42,MAX(0,(K39+K40)-IF(K4,583750,518900)*(1+TaxBracketInflation)^9)))*0.20</f>
        <v/>
      </c>
      <c r="L44" s="8">
        <f>(L42-MIN(L42,MAX(0,(L39+L40)-IF(L4,583750,518900)*(1+TaxBracketInflation)^10)))*0.15+(MIN(L42,MAX(0,(L39+L40)-IF(L4,583750,518900)*(1+TaxBracketInflation)^10)))*0.20</f>
        <v/>
      </c>
      <c r="M44" s="8">
        <f>(M42-MIN(M42,MAX(0,(M39+M40)-IF(M4,583750,518900)*(1+TaxBracketInflation)^11)))*0.15+(MIN(M42,MAX(0,(M39+M40)-IF(M4,583750,518900)*(1+TaxBracketInflation)^11)))*0.20</f>
        <v/>
      </c>
      <c r="N44" s="8">
        <f>(N42-MIN(N42,MAX(0,(N39+N40)-IF(N4,583750,518900)*(1+TaxBracketInflation)^12)))*0.15+(MIN(N42,MAX(0,(N39+N40)-IF(N4,583750,518900)*(1+TaxBracketInflation)^12)))*0.20</f>
        <v/>
      </c>
      <c r="O44" s="8">
        <f>(O42-MIN(O42,MAX(0,(O39+O40)-IF(O4,583750,518900)*(1+TaxBracketInflation)^13)))*0.15+(MIN(O42,MAX(0,(O39+O40)-IF(O4,583750,518900)*(1+TaxBracketInflation)^13)))*0.20</f>
        <v/>
      </c>
      <c r="P44" s="8">
        <f>(P42-MIN(P42,MAX(0,(P39+P40)-IF(P4,583750,518900)*(1+TaxBracketInflation)^14)))*0.15+(MIN(P42,MAX(0,(P39+P40)-IF(P4,583750,518900)*(1+TaxBracketInflation)^14)))*0.20</f>
        <v/>
      </c>
      <c r="Q44" s="8">
        <f>(Q42-MIN(Q42,MAX(0,(Q39+Q40)-IF(Q4,583750,518900)*(1+TaxBracketInflation)^15)))*0.15+(MIN(Q42,MAX(0,(Q39+Q40)-IF(Q4,583750,518900)*(1+TaxBracketInflation)^15)))*0.20</f>
        <v/>
      </c>
      <c r="R44" s="8">
        <f>(R42-MIN(R42,MAX(0,(R39+R40)-IF(R4,583750,518900)*(1+TaxBracketInflation)^16)))*0.15+(MIN(R42,MAX(0,(R39+R40)-IF(R4,583750,518900)*(1+TaxBracketInflation)^16)))*0.20</f>
        <v/>
      </c>
      <c r="S44" s="8">
        <f>(S42-MIN(S42,MAX(0,(S39+S40)-IF(S4,583750,518900)*(1+TaxBracketInflation)^17)))*0.15+(MIN(S42,MAX(0,(S39+S40)-IF(S4,583750,518900)*(1+TaxBracketInflation)^17)))*0.20</f>
        <v/>
      </c>
      <c r="T44" s="8">
        <f>(T42-MIN(T42,MAX(0,(T39+T40)-IF(T4,583750,518900)*(1+TaxBracketInflation)^18)))*0.15+(MIN(T42,MAX(0,(T39+T40)-IF(T4,583750,518900)*(1+TaxBracketInflation)^18)))*0.20</f>
        <v/>
      </c>
      <c r="U44" s="8">
        <f>(U42-MIN(U42,MAX(0,(U39+U40)-IF(U4,583750,518900)*(1+TaxBracketInflation)^19)))*0.15+(MIN(U42,MAX(0,(U39+U40)-IF(U4,583750,518900)*(1+TaxBracketInflation)^19)))*0.20</f>
        <v/>
      </c>
      <c r="V44" s="8">
        <f>(V42-MIN(V42,MAX(0,(V39+V40)-IF(V4,583750,518900)*(1+TaxBracketInflation)^20)))*0.15+(MIN(V42,MAX(0,(V39+V40)-IF(V4,583750,518900)*(1+TaxBracketInflation)^20)))*0.20</f>
        <v/>
      </c>
      <c r="W44" s="8">
        <f>(W42-MIN(W42,MAX(0,(W39+W40)-IF(W4,583750,518900)*(1+TaxBracketInflation)^21)))*0.15+(MIN(W42,MAX(0,(W39+W40)-IF(W4,583750,518900)*(1+TaxBracketInflation)^21)))*0.20</f>
        <v/>
      </c>
      <c r="X44" s="8">
        <f>(X42-MIN(X42,MAX(0,(X39+X40)-IF(X4,583750,518900)*(1+TaxBracketInflation)^22)))*0.15+(MIN(X42,MAX(0,(X39+X40)-IF(X4,583750,518900)*(1+TaxBracketInflation)^22)))*0.20</f>
        <v/>
      </c>
      <c r="Y44" s="8">
        <f>(Y42-MIN(Y42,MAX(0,(Y39+Y40)-IF(Y4,583750,518900)*(1+TaxBracketInflation)^23)))*0.15+(MIN(Y42,MAX(0,(Y39+Y40)-IF(Y4,583750,518900)*(1+TaxBracketInflation)^23)))*0.20</f>
        <v/>
      </c>
      <c r="Z44" s="8">
        <f>(Z42-MIN(Z42,MAX(0,(Z39+Z40)-IF(Z4,583750,518900)*(1+TaxBracketInflation)^24)))*0.15+(MIN(Z42,MAX(0,(Z39+Z40)-IF(Z4,583750,518900)*(1+TaxBracketInflation)^24)))*0.20</f>
        <v/>
      </c>
      <c r="AA44" s="8">
        <f>(AA42-MIN(AA42,MAX(0,(AA39+AA40)-IF(AA4,583750,518900)*(1+TaxBracketInflation)^25)))*0.15+(MIN(AA42,MAX(0,(AA39+AA40)-IF(AA4,583750,518900)*(1+TaxBracketInflation)^25)))*0.20</f>
        <v/>
      </c>
      <c r="AB44" s="8">
        <f>(AB42-MIN(AB42,MAX(0,(AB39+AB40)-IF(AB4,583750,518900)*(1+TaxBracketInflation)^26)))*0.15+(MIN(AB42,MAX(0,(AB39+AB40)-IF(AB4,583750,518900)*(1+TaxBracketInflation)^26)))*0.20</f>
        <v/>
      </c>
      <c r="AC44" s="8">
        <f>(AC42-MIN(AC42,MAX(0,(AC39+AC40)-IF(AC4,583750,518900)*(1+TaxBracketInflation)^27)))*0.15+(MIN(AC42,MAX(0,(AC39+AC40)-IF(AC4,583750,518900)*(1+TaxBracketInflation)^27)))*0.20</f>
        <v/>
      </c>
      <c r="AD44" s="8">
        <f>(AD42-MIN(AD42,MAX(0,(AD39+AD40)-IF(AD4,583750,518900)*(1+TaxBracketInflation)^28)))*0.15+(MIN(AD42,MAX(0,(AD39+AD40)-IF(AD4,583750,518900)*(1+TaxBracketInflation)^28)))*0.20</f>
        <v/>
      </c>
      <c r="AE44" s="8">
        <f>(AE42-MIN(AE42,MAX(0,(AE39+AE40)-IF(AE4,583750,518900)*(1+TaxBracketInflation)^29)))*0.15+(MIN(AE42,MAX(0,(AE39+AE40)-IF(AE4,583750,518900)*(1+TaxBracketInflation)^29)))*0.20</f>
        <v/>
      </c>
    </row>
    <row r="45">
      <c r="A45" s="11" t="inlineStr">
        <is>
          <t>NIIT (3.8%)</t>
        </is>
      </c>
      <c r="B45" s="8">
        <f>0.038*MIN(B40,MAX(0,(B39+IF(B4,StdDeduction,StdDeductionSingle)*(1+TaxBracketInflation)^0+B40)-IF(B4,NIITThreshold,NIITThresholdSingle)*(1+TaxBracketInflation)^0))</f>
        <v/>
      </c>
      <c r="C45" s="8">
        <f>0.038*MIN(C40,MAX(0,(C39+IF(C4,StdDeduction,StdDeductionSingle)*(1+TaxBracketInflation)^1+C40)-IF(C4,NIITThreshold,NIITThresholdSingle)*(1+TaxBracketInflation)^1))</f>
        <v/>
      </c>
      <c r="D45" s="8">
        <f>0.038*MIN(D40,MAX(0,(D39+IF(D4,StdDeduction,StdDeductionSingle)*(1+TaxBracketInflation)^2+D40)-IF(D4,NIITThreshold,NIITThresholdSingle)*(1+TaxBracketInflation)^2))</f>
        <v/>
      </c>
      <c r="E45" s="8">
        <f>0.038*MIN(E40,MAX(0,(E39+IF(E4,StdDeduction,StdDeductionSingle)*(1+TaxBracketInflation)^3+E40)-IF(E4,NIITThreshold,NIITThresholdSingle)*(1+TaxBracketInflation)^3))</f>
        <v/>
      </c>
      <c r="F45" s="8">
        <f>0.038*MIN(F40,MAX(0,(F39+IF(F4,StdDeduction,StdDeductionSingle)*(1+TaxBracketInflation)^4+F40)-IF(F4,NIITThreshold,NIITThresholdSingle)*(1+TaxBracketInflation)^4))</f>
        <v/>
      </c>
      <c r="G45" s="8">
        <f>0.038*MIN(G40,MAX(0,(G39+IF(G4,StdDeduction,StdDeductionSingle)*(1+TaxBracketInflation)^5+G40)-IF(G4,NIITThreshold,NIITThresholdSingle)*(1+TaxBracketInflation)^5))</f>
        <v/>
      </c>
      <c r="H45" s="8">
        <f>0.038*MIN(H40,MAX(0,(H39+IF(H4,StdDeduction,StdDeductionSingle)*(1+TaxBracketInflation)^6+H40)-IF(H4,NIITThreshold,NIITThresholdSingle)*(1+TaxBracketInflation)^6))</f>
        <v/>
      </c>
      <c r="I45" s="8">
        <f>0.038*MIN(I40,MAX(0,(I39+IF(I4,StdDeduction,StdDeductionSingle)*(1+TaxBracketInflation)^7+I40)-IF(I4,NIITThreshold,NIITThresholdSingle)*(1+TaxBracketInflation)^7))</f>
        <v/>
      </c>
      <c r="J45" s="8">
        <f>0.038*MIN(J40,MAX(0,(J39+IF(J4,StdDeduction,StdDeductionSingle)*(1+TaxBracketInflation)^8+J40)-IF(J4,NIITThreshold,NIITThresholdSingle)*(1+TaxBracketInflation)^8))</f>
        <v/>
      </c>
      <c r="K45" s="8">
        <f>0.038*MIN(K40,MAX(0,(K39+IF(K4,StdDeduction,StdDeductionSingle)*(1+TaxBracketInflation)^9+K40)-IF(K4,NIITThreshold,NIITThresholdSingle)*(1+TaxBracketInflation)^9))</f>
        <v/>
      </c>
      <c r="L45" s="8">
        <f>0.038*MIN(L40,MAX(0,(L39+IF(L4,StdDeduction,StdDeductionSingle)*(1+TaxBracketInflation)^10+L40)-IF(L4,NIITThreshold,NIITThresholdSingle)*(1+TaxBracketInflation)^10))</f>
        <v/>
      </c>
      <c r="M45" s="8">
        <f>0.038*MIN(M40,MAX(0,(M39+IF(M4,StdDeduction,StdDeductionSingle)*(1+TaxBracketInflation)^11+M40)-IF(M4,NIITThreshold,NIITThresholdSingle)*(1+TaxBracketInflation)^11))</f>
        <v/>
      </c>
      <c r="N45" s="8">
        <f>0.038*MIN(N40,MAX(0,(N39+IF(N4,StdDeduction,StdDeductionSingle)*(1+TaxBracketInflation)^12+N40)-IF(N4,NIITThreshold,NIITThresholdSingle)*(1+TaxBracketInflation)^12))</f>
        <v/>
      </c>
      <c r="O45" s="8">
        <f>0.038*MIN(O40,MAX(0,(O39+IF(O4,StdDeduction,StdDeductionSingle)*(1+TaxBracketInflation)^13+O40)-IF(O4,NIITThreshold,NIITThresholdSingle)*(1+TaxBracketInflation)^13))</f>
        <v/>
      </c>
      <c r="P45" s="8">
        <f>0.038*MIN(P40,MAX(0,(P39+IF(P4,StdDeduction,StdDeductionSingle)*(1+TaxBracketInflation)^14+P40)-IF(P4,NIITThreshold,NIITThresholdSingle)*(1+TaxBracketInflation)^14))</f>
        <v/>
      </c>
      <c r="Q45" s="8">
        <f>0.038*MIN(Q40,MAX(0,(Q39+IF(Q4,StdDeduction,StdDeductionSingle)*(1+TaxBracketInflation)^15+Q40)-IF(Q4,NIITThreshold,NIITThresholdSingle)*(1+TaxBracketInflation)^15))</f>
        <v/>
      </c>
      <c r="R45" s="8">
        <f>0.038*MIN(R40,MAX(0,(R39+IF(R4,StdDeduction,StdDeductionSingle)*(1+TaxBracketInflation)^16+R40)-IF(R4,NIITThreshold,NIITThresholdSingle)*(1+TaxBracketInflation)^16))</f>
        <v/>
      </c>
      <c r="S45" s="8">
        <f>0.038*MIN(S40,MAX(0,(S39+IF(S4,StdDeduction,StdDeductionSingle)*(1+TaxBracketInflation)^17+S40)-IF(S4,NIITThreshold,NIITThresholdSingle)*(1+TaxBracketInflation)^17))</f>
        <v/>
      </c>
      <c r="T45" s="8">
        <f>0.038*MIN(T40,MAX(0,(T39+IF(T4,StdDeduction,StdDeductionSingle)*(1+TaxBracketInflation)^18+T40)-IF(T4,NIITThreshold,NIITThresholdSingle)*(1+TaxBracketInflation)^18))</f>
        <v/>
      </c>
      <c r="U45" s="8">
        <f>0.038*MIN(U40,MAX(0,(U39+IF(U4,StdDeduction,StdDeductionSingle)*(1+TaxBracketInflation)^19+U40)-IF(U4,NIITThreshold,NIITThresholdSingle)*(1+TaxBracketInflation)^19))</f>
        <v/>
      </c>
      <c r="V45" s="8">
        <f>0.038*MIN(V40,MAX(0,(V39+IF(V4,StdDeduction,StdDeductionSingle)*(1+TaxBracketInflation)^20+V40)-IF(V4,NIITThreshold,NIITThresholdSingle)*(1+TaxBracketInflation)^20))</f>
        <v/>
      </c>
      <c r="W45" s="8">
        <f>0.038*MIN(W40,MAX(0,(W39+IF(W4,StdDeduction,StdDeductionSingle)*(1+TaxBracketInflation)^21+W40)-IF(W4,NIITThreshold,NIITThresholdSingle)*(1+TaxBracketInflation)^21))</f>
        <v/>
      </c>
      <c r="X45" s="8">
        <f>0.038*MIN(X40,MAX(0,(X39+IF(X4,StdDeduction,StdDeductionSingle)*(1+TaxBracketInflation)^22+X40)-IF(X4,NIITThreshold,NIITThresholdSingle)*(1+TaxBracketInflation)^22))</f>
        <v/>
      </c>
      <c r="Y45" s="8">
        <f>0.038*MIN(Y40,MAX(0,(Y39+IF(Y4,StdDeduction,StdDeductionSingle)*(1+TaxBracketInflation)^23+Y40)-IF(Y4,NIITThreshold,NIITThresholdSingle)*(1+TaxBracketInflation)^23))</f>
        <v/>
      </c>
      <c r="Z45" s="8">
        <f>0.038*MIN(Z40,MAX(0,(Z39+IF(Z4,StdDeduction,StdDeductionSingle)*(1+TaxBracketInflation)^24+Z40)-IF(Z4,NIITThreshold,NIITThresholdSingle)*(1+TaxBracketInflation)^24))</f>
        <v/>
      </c>
      <c r="AA45" s="8">
        <f>0.038*MIN(AA40,MAX(0,(AA39+IF(AA4,StdDeduction,StdDeductionSingle)*(1+TaxBracketInflation)^25+AA40)-IF(AA4,NIITThreshold,NIITThresholdSingle)*(1+TaxBracketInflation)^25))</f>
        <v/>
      </c>
      <c r="AB45" s="8">
        <f>0.038*MIN(AB40,MAX(0,(AB39+IF(AB4,StdDeduction,StdDeductionSingle)*(1+TaxBracketInflation)^26+AB40)-IF(AB4,NIITThreshold,NIITThresholdSingle)*(1+TaxBracketInflation)^26))</f>
        <v/>
      </c>
      <c r="AC45" s="8">
        <f>0.038*MIN(AC40,MAX(0,(AC39+IF(AC4,StdDeduction,StdDeductionSingle)*(1+TaxBracketInflation)^27+AC40)-IF(AC4,NIITThreshold,NIITThresholdSingle)*(1+TaxBracketInflation)^27))</f>
        <v/>
      </c>
      <c r="AD45" s="8">
        <f>0.038*MIN(AD40,MAX(0,(AD39+IF(AD4,StdDeduction,StdDeductionSingle)*(1+TaxBracketInflation)^28+AD40)-IF(AD4,NIITThreshold,NIITThresholdSingle)*(1+TaxBracketInflation)^28))</f>
        <v/>
      </c>
      <c r="AE45" s="8">
        <f>0.038*MIN(AE40,MAX(0,(AE39+IF(AE4,StdDeduction,StdDeductionSingle)*(1+TaxBracketInflation)^29+AE40)-IF(AE4,NIITThreshold,NIITThresholdSingle)*(1+TaxBracketInflation)^29))</f>
        <v/>
      </c>
    </row>
    <row r="46">
      <c r="A46" s="11" t="inlineStr">
        <is>
          <t>Illinois Tax</t>
        </is>
      </c>
      <c r="B46" s="8">
        <f>(B14+B40)*ILTaxRate</f>
        <v/>
      </c>
      <c r="C46" s="8">
        <f>(C14+C40)*ILTaxRate</f>
        <v/>
      </c>
      <c r="D46" s="8">
        <f>(D14+D40)*ILTaxRate</f>
        <v/>
      </c>
      <c r="E46" s="8">
        <f>(E14+E40)*ILTaxRate</f>
        <v/>
      </c>
      <c r="F46" s="8">
        <f>(F14+F40)*ILTaxRate</f>
        <v/>
      </c>
      <c r="G46" s="8">
        <f>(G14+G40)*ILTaxRate</f>
        <v/>
      </c>
      <c r="H46" s="8">
        <f>(H14+H40)*ILTaxRate</f>
        <v/>
      </c>
      <c r="I46" s="8">
        <f>(I14+I40)*ILTaxRate</f>
        <v/>
      </c>
      <c r="J46" s="8">
        <f>(J14+J40)*ILTaxRate</f>
        <v/>
      </c>
      <c r="K46" s="8">
        <f>(K14+K40)*ILTaxRate</f>
        <v/>
      </c>
      <c r="L46" s="8">
        <f>(L14+L40)*ILTaxRate</f>
        <v/>
      </c>
      <c r="M46" s="8">
        <f>(M14+M40)*ILTaxRate</f>
        <v/>
      </c>
      <c r="N46" s="8">
        <f>(N14+N40)*ILTaxRate</f>
        <v/>
      </c>
      <c r="O46" s="8">
        <f>(O14+O40)*ILTaxRate</f>
        <v/>
      </c>
      <c r="P46" s="8">
        <f>(P14+P40)*ILTaxRate</f>
        <v/>
      </c>
      <c r="Q46" s="8">
        <f>(Q14+Q40)*ILTaxRate</f>
        <v/>
      </c>
      <c r="R46" s="8">
        <f>(R14+R40)*ILTaxRate</f>
        <v/>
      </c>
      <c r="S46" s="8">
        <f>(S14+S40)*ILTaxRate</f>
        <v/>
      </c>
      <c r="T46" s="8">
        <f>(T14+T40)*ILTaxRate</f>
        <v/>
      </c>
      <c r="U46" s="8">
        <f>(U14+U40)*ILTaxRate</f>
        <v/>
      </c>
      <c r="V46" s="8">
        <f>(V14+V40)*ILTaxRate</f>
        <v/>
      </c>
      <c r="W46" s="8">
        <f>(W14+W40)*ILTaxRate</f>
        <v/>
      </c>
      <c r="X46" s="8">
        <f>(X14+X40)*ILTaxRate</f>
        <v/>
      </c>
      <c r="Y46" s="8">
        <f>(Y14+Y40)*ILTaxRate</f>
        <v/>
      </c>
      <c r="Z46" s="8">
        <f>(Z14+Z40)*ILTaxRate</f>
        <v/>
      </c>
      <c r="AA46" s="8">
        <f>(AA14+AA40)*ILTaxRate</f>
        <v/>
      </c>
      <c r="AB46" s="8">
        <f>(AB14+AB40)*ILTaxRate</f>
        <v/>
      </c>
      <c r="AC46" s="8">
        <f>(AC14+AC40)*ILTaxRate</f>
        <v/>
      </c>
      <c r="AD46" s="8">
        <f>(AD14+AD40)*ILTaxRate</f>
        <v/>
      </c>
      <c r="AE46" s="8">
        <f>(AE14+AE40)*ILTaxRate</f>
        <v/>
      </c>
    </row>
    <row r="47">
      <c r="A47" s="11" t="inlineStr">
        <is>
          <t>Total Tax</t>
        </is>
      </c>
      <c r="B47" s="8">
        <f>B43+B44+B45+B46</f>
        <v/>
      </c>
      <c r="C47" s="8">
        <f>C43+C44+C45+C46</f>
        <v/>
      </c>
      <c r="D47" s="8">
        <f>D43+D44+D45+D46</f>
        <v/>
      </c>
      <c r="E47" s="8">
        <f>E43+E44+E45+E46</f>
        <v/>
      </c>
      <c r="F47" s="8">
        <f>F43+F44+F45+F46</f>
        <v/>
      </c>
      <c r="G47" s="8">
        <f>G43+G44+G45+G46</f>
        <v/>
      </c>
      <c r="H47" s="8">
        <f>H43+H44+H45+H46</f>
        <v/>
      </c>
      <c r="I47" s="8">
        <f>I43+I44+I45+I46</f>
        <v/>
      </c>
      <c r="J47" s="8">
        <f>J43+J44+J45+J46</f>
        <v/>
      </c>
      <c r="K47" s="8">
        <f>K43+K44+K45+K46</f>
        <v/>
      </c>
      <c r="L47" s="8">
        <f>L43+L44+L45+L46</f>
        <v/>
      </c>
      <c r="M47" s="8">
        <f>M43+M44+M45+M46</f>
        <v/>
      </c>
      <c r="N47" s="8">
        <f>N43+N44+N45+N46</f>
        <v/>
      </c>
      <c r="O47" s="8">
        <f>O43+O44+O45+O46</f>
        <v/>
      </c>
      <c r="P47" s="8">
        <f>P43+P44+P45+P46</f>
        <v/>
      </c>
      <c r="Q47" s="8">
        <f>Q43+Q44+Q45+Q46</f>
        <v/>
      </c>
      <c r="R47" s="8">
        <f>R43+R44+R45+R46</f>
        <v/>
      </c>
      <c r="S47" s="8">
        <f>S43+S44+S45+S46</f>
        <v/>
      </c>
      <c r="T47" s="8">
        <f>T43+T44+T45+T46</f>
        <v/>
      </c>
      <c r="U47" s="8">
        <f>U43+U44+U45+U46</f>
        <v/>
      </c>
      <c r="V47" s="8">
        <f>V43+V44+V45+V46</f>
        <v/>
      </c>
      <c r="W47" s="8">
        <f>W43+W44+W45+W46</f>
        <v/>
      </c>
      <c r="X47" s="8">
        <f>X43+X44+X45+X46</f>
        <v/>
      </c>
      <c r="Y47" s="8">
        <f>Y43+Y44+Y45+Y46</f>
        <v/>
      </c>
      <c r="Z47" s="8">
        <f>Z43+Z44+Z45+Z46</f>
        <v/>
      </c>
      <c r="AA47" s="8">
        <f>AA43+AA44+AA45+AA46</f>
        <v/>
      </c>
      <c r="AB47" s="8">
        <f>AB43+AB44+AB45+AB46</f>
        <v/>
      </c>
      <c r="AC47" s="8">
        <f>AC43+AC44+AC45+AC46</f>
        <v/>
      </c>
      <c r="AD47" s="8">
        <f>AD43+AD44+AD45+AD46</f>
        <v/>
      </c>
      <c r="AE47" s="8">
        <f>AE43+AE44+AE45+AE46</f>
        <v/>
      </c>
    </row>
    <row r="48">
      <c r="A48" t="inlineStr"/>
    </row>
    <row r="49">
      <c r="A49" s="12" t="inlineStr">
        <is>
          <t>ENDING BALANCES</t>
        </is>
      </c>
    </row>
    <row r="50">
      <c r="A50" s="11" t="inlineStr">
        <is>
          <t>After-Tax</t>
        </is>
      </c>
      <c r="B50" s="8">
        <f>MAX(0,B7+B20+B16-B32)</f>
        <v/>
      </c>
      <c r="C50" s="8">
        <f>MAX(0,C7+C20+C16-C32)</f>
        <v/>
      </c>
      <c r="D50" s="8">
        <f>MAX(0,D7+D20+D16-D32)</f>
        <v/>
      </c>
      <c r="E50" s="8">
        <f>MAX(0,E7+E20+E16-E32)</f>
        <v/>
      </c>
      <c r="F50" s="8">
        <f>MAX(0,F7+F20+F16-F32)</f>
        <v/>
      </c>
      <c r="G50" s="8">
        <f>MAX(0,G7+G20+G16-G32)</f>
        <v/>
      </c>
      <c r="H50" s="8">
        <f>MAX(0,H7+H20+H16-H32)</f>
        <v/>
      </c>
      <c r="I50" s="8">
        <f>MAX(0,I7+I20+I16-I32)</f>
        <v/>
      </c>
      <c r="J50" s="8">
        <f>MAX(0,J7+J20+J16-J32)</f>
        <v/>
      </c>
      <c r="K50" s="8">
        <f>MAX(0,K7+K20+K16-K32)</f>
        <v/>
      </c>
      <c r="L50" s="8">
        <f>MAX(0,L7+L20+L16-L32)</f>
        <v/>
      </c>
      <c r="M50" s="8">
        <f>MAX(0,M7+M20+M16-M32)</f>
        <v/>
      </c>
      <c r="N50" s="8">
        <f>MAX(0,N7+N20+N16-N32)</f>
        <v/>
      </c>
      <c r="O50" s="8">
        <f>MAX(0,O7+O20+O16-O32)</f>
        <v/>
      </c>
      <c r="P50" s="8">
        <f>MAX(0,P7+P20+P16-P32)</f>
        <v/>
      </c>
      <c r="Q50" s="8">
        <f>MAX(0,Q7+Q20+Q16-Q32)</f>
        <v/>
      </c>
      <c r="R50" s="8">
        <f>MAX(0,R7+R20+R16-R32)</f>
        <v/>
      </c>
      <c r="S50" s="8">
        <f>MAX(0,S7+S20+S16-S32)</f>
        <v/>
      </c>
      <c r="T50" s="8">
        <f>MAX(0,T7+T20+T16-T32)</f>
        <v/>
      </c>
      <c r="U50" s="8">
        <f>MAX(0,U7+U20+U16-U32)</f>
        <v/>
      </c>
      <c r="V50" s="8">
        <f>MAX(0,V7+V20+V16-V32)</f>
        <v/>
      </c>
      <c r="W50" s="8">
        <f>MAX(0,W7+W20+W16-W32)</f>
        <v/>
      </c>
      <c r="X50" s="8">
        <f>MAX(0,X7+X20+X16-X32)</f>
        <v/>
      </c>
      <c r="Y50" s="8">
        <f>MAX(0,Y7+Y20+Y16-Y32)</f>
        <v/>
      </c>
      <c r="Z50" s="8">
        <f>MAX(0,Z7+Z20+Z16-Z32)</f>
        <v/>
      </c>
      <c r="AA50" s="8">
        <f>MAX(0,AA7+AA20+AA16-AA32)</f>
        <v/>
      </c>
      <c r="AB50" s="8">
        <f>MAX(0,AB7+AB20+AB16-AB32)</f>
        <v/>
      </c>
      <c r="AC50" s="8">
        <f>MAX(0,AC7+AC20+AC16-AC32)</f>
        <v/>
      </c>
      <c r="AD50" s="8">
        <f>MAX(0,AD7+AD20+AD16-AD32)</f>
        <v/>
      </c>
      <c r="AE50" s="8">
        <f>MAX(0,AE7+AE20+AE16-AE32)</f>
        <v/>
      </c>
    </row>
    <row r="51">
      <c r="A51" s="11" t="inlineStr">
        <is>
          <t>Traditional IRA</t>
        </is>
      </c>
      <c r="B51" s="8">
        <f>MAX(0,B8-B17+B21-B16-B33)</f>
        <v/>
      </c>
      <c r="C51" s="8">
        <f>MAX(0,C8-C17+C21-C16-C33)</f>
        <v/>
      </c>
      <c r="D51" s="8">
        <f>MAX(0,D8-D17+D21-D16-D33)</f>
        <v/>
      </c>
      <c r="E51" s="8">
        <f>MAX(0,E8-E17+E21-E16-E33)</f>
        <v/>
      </c>
      <c r="F51" s="8">
        <f>MAX(0,F8-F17+F21-F16-F33)</f>
        <v/>
      </c>
      <c r="G51" s="8">
        <f>MAX(0,G8-G17+G21-G16-G33)</f>
        <v/>
      </c>
      <c r="H51" s="8">
        <f>MAX(0,H8-H17+H21-H16-H33)</f>
        <v/>
      </c>
      <c r="I51" s="8">
        <f>MAX(0,I8-I17+I21-I16-I33)</f>
        <v/>
      </c>
      <c r="J51" s="8">
        <f>MAX(0,J8-J17+J21-J16-J33)</f>
        <v/>
      </c>
      <c r="K51" s="8">
        <f>MAX(0,K8-K17+K21-K16-K33)</f>
        <v/>
      </c>
      <c r="L51" s="8">
        <f>MAX(0,L8-L17+L21-L16-L33)</f>
        <v/>
      </c>
      <c r="M51" s="8">
        <f>MAX(0,M8-M17+M21-M16-M33)</f>
        <v/>
      </c>
      <c r="N51" s="8">
        <f>MAX(0,N8-N17+N21-N16-N33)</f>
        <v/>
      </c>
      <c r="O51" s="8">
        <f>MAX(0,O8-O17+O21-O16-O33)</f>
        <v/>
      </c>
      <c r="P51" s="8">
        <f>MAX(0,P8-P17+P21-P16-P33)</f>
        <v/>
      </c>
      <c r="Q51" s="8">
        <f>MAX(0,Q8-Q17+Q21-Q16-Q33)</f>
        <v/>
      </c>
      <c r="R51" s="8">
        <f>MAX(0,R8-R17+R21-R16-R33)</f>
        <v/>
      </c>
      <c r="S51" s="8">
        <f>MAX(0,S8-S17+S21-S16-S33)</f>
        <v/>
      </c>
      <c r="T51" s="8">
        <f>MAX(0,T8-T17+T21-T16-T33)</f>
        <v/>
      </c>
      <c r="U51" s="8">
        <f>MAX(0,U8-U17+U21-U16-U33)</f>
        <v/>
      </c>
      <c r="V51" s="8">
        <f>MAX(0,V8-V17+V21-V16-V33)</f>
        <v/>
      </c>
      <c r="W51" s="8">
        <f>MAX(0,W8-W17+W21-W16-W33)</f>
        <v/>
      </c>
      <c r="X51" s="8">
        <f>MAX(0,X8-X17+X21-X16-X33)</f>
        <v/>
      </c>
      <c r="Y51" s="8">
        <f>MAX(0,Y8-Y17+Y21-Y16-Y33)</f>
        <v/>
      </c>
      <c r="Z51" s="8">
        <f>MAX(0,Z8-Z17+Z21-Z16-Z33)</f>
        <v/>
      </c>
      <c r="AA51" s="8">
        <f>MAX(0,AA8-AA17+AA21-AA16-AA33)</f>
        <v/>
      </c>
      <c r="AB51" s="8">
        <f>MAX(0,AB8-AB17+AB21-AB16-AB33)</f>
        <v/>
      </c>
      <c r="AC51" s="8">
        <f>MAX(0,AC8-AC17+AC21-AC16-AC33)</f>
        <v/>
      </c>
      <c r="AD51" s="8">
        <f>MAX(0,AD8-AD17+AD21-AD16-AD33)</f>
        <v/>
      </c>
      <c r="AE51" s="8">
        <f>MAX(0,AE8-AE17+AE21-AE16-AE33)</f>
        <v/>
      </c>
    </row>
    <row r="52">
      <c r="A52" s="11" t="inlineStr">
        <is>
          <t>Roth IRA</t>
        </is>
      </c>
      <c r="B52" s="8">
        <f>MAX(0,B9+B17+B22-B34)</f>
        <v/>
      </c>
      <c r="C52" s="8">
        <f>MAX(0,C9+C17+C22-C34)</f>
        <v/>
      </c>
      <c r="D52" s="8">
        <f>MAX(0,D9+D17+D22-D34)</f>
        <v/>
      </c>
      <c r="E52" s="8">
        <f>MAX(0,E9+E17+E22-E34)</f>
        <v/>
      </c>
      <c r="F52" s="8">
        <f>MAX(0,F9+F17+F22-F34)</f>
        <v/>
      </c>
      <c r="G52" s="8">
        <f>MAX(0,G9+G17+G22-G34)</f>
        <v/>
      </c>
      <c r="H52" s="8">
        <f>MAX(0,H9+H17+H22-H34)</f>
        <v/>
      </c>
      <c r="I52" s="8">
        <f>MAX(0,I9+I17+I22-I34)</f>
        <v/>
      </c>
      <c r="J52" s="8">
        <f>MAX(0,J9+J17+J22-J34)</f>
        <v/>
      </c>
      <c r="K52" s="8">
        <f>MAX(0,K9+K17+K22-K34)</f>
        <v/>
      </c>
      <c r="L52" s="8">
        <f>MAX(0,L9+L17+L22-L34)</f>
        <v/>
      </c>
      <c r="M52" s="8">
        <f>MAX(0,M9+M17+M22-M34)</f>
        <v/>
      </c>
      <c r="N52" s="8">
        <f>MAX(0,N9+N17+N22-N34)</f>
        <v/>
      </c>
      <c r="O52" s="8">
        <f>MAX(0,O9+O17+O22-O34)</f>
        <v/>
      </c>
      <c r="P52" s="8">
        <f>MAX(0,P9+P17+P22-P34)</f>
        <v/>
      </c>
      <c r="Q52" s="8">
        <f>MAX(0,Q9+Q17+Q22-Q34)</f>
        <v/>
      </c>
      <c r="R52" s="8">
        <f>MAX(0,R9+R17+R22-R34)</f>
        <v/>
      </c>
      <c r="S52" s="8">
        <f>MAX(0,S9+S17+S22-S34)</f>
        <v/>
      </c>
      <c r="T52" s="8">
        <f>MAX(0,T9+T17+T22-T34)</f>
        <v/>
      </c>
      <c r="U52" s="8">
        <f>MAX(0,U9+U17+U22-U34)</f>
        <v/>
      </c>
      <c r="V52" s="8">
        <f>MAX(0,V9+V17+V22-V34)</f>
        <v/>
      </c>
      <c r="W52" s="8">
        <f>MAX(0,W9+W17+W22-W34)</f>
        <v/>
      </c>
      <c r="X52" s="8">
        <f>MAX(0,X9+X17+X22-X34)</f>
        <v/>
      </c>
      <c r="Y52" s="8">
        <f>MAX(0,Y9+Y17+Y22-Y34)</f>
        <v/>
      </c>
      <c r="Z52" s="8">
        <f>MAX(0,Z9+Z17+Z22-Z34)</f>
        <v/>
      </c>
      <c r="AA52" s="8">
        <f>MAX(0,AA9+AA17+AA22-AA34)</f>
        <v/>
      </c>
      <c r="AB52" s="8">
        <f>MAX(0,AB9+AB17+AB22-AB34)</f>
        <v/>
      </c>
      <c r="AC52" s="8">
        <f>MAX(0,AC9+AC17+AC22-AC34)</f>
        <v/>
      </c>
      <c r="AD52" s="8">
        <f>MAX(0,AD9+AD17+AD22-AD34)</f>
        <v/>
      </c>
      <c r="AE52" s="8">
        <f>MAX(0,AE9+AE17+AE22-AE34)</f>
        <v/>
      </c>
    </row>
    <row r="53">
      <c r="A53" s="11" t="inlineStr">
        <is>
          <t>Total</t>
        </is>
      </c>
      <c r="B53" s="8">
        <f>B50+B51+B52</f>
        <v/>
      </c>
      <c r="C53" s="8">
        <f>C50+C51+C52</f>
        <v/>
      </c>
      <c r="D53" s="8">
        <f>D50+D51+D52</f>
        <v/>
      </c>
      <c r="E53" s="8">
        <f>E50+E51+E52</f>
        <v/>
      </c>
      <c r="F53" s="8">
        <f>F50+F51+F52</f>
        <v/>
      </c>
      <c r="G53" s="8">
        <f>G50+G51+G52</f>
        <v/>
      </c>
      <c r="H53" s="8">
        <f>H50+H51+H52</f>
        <v/>
      </c>
      <c r="I53" s="8">
        <f>I50+I51+I52</f>
        <v/>
      </c>
      <c r="J53" s="8">
        <f>J50+J51+J52</f>
        <v/>
      </c>
      <c r="K53" s="8">
        <f>K50+K51+K52</f>
        <v/>
      </c>
      <c r="L53" s="8">
        <f>L50+L51+L52</f>
        <v/>
      </c>
      <c r="M53" s="8">
        <f>M50+M51+M52</f>
        <v/>
      </c>
      <c r="N53" s="8">
        <f>N50+N51+N52</f>
        <v/>
      </c>
      <c r="O53" s="8">
        <f>O50+O51+O52</f>
        <v/>
      </c>
      <c r="P53" s="8">
        <f>P50+P51+P52</f>
        <v/>
      </c>
      <c r="Q53" s="8">
        <f>Q50+Q51+Q52</f>
        <v/>
      </c>
      <c r="R53" s="8">
        <f>R50+R51+R52</f>
        <v/>
      </c>
      <c r="S53" s="8">
        <f>S50+S51+S52</f>
        <v/>
      </c>
      <c r="T53" s="8">
        <f>T50+T51+T52</f>
        <v/>
      </c>
      <c r="U53" s="8">
        <f>U50+U51+U52</f>
        <v/>
      </c>
      <c r="V53" s="8">
        <f>V50+V51+V52</f>
        <v/>
      </c>
      <c r="W53" s="8">
        <f>W50+W51+W52</f>
        <v/>
      </c>
      <c r="X53" s="8">
        <f>X50+X51+X52</f>
        <v/>
      </c>
      <c r="Y53" s="8">
        <f>Y50+Y51+Y52</f>
        <v/>
      </c>
      <c r="Z53" s="8">
        <f>Z50+Z51+Z52</f>
        <v/>
      </c>
      <c r="AA53" s="8">
        <f>AA50+AA51+AA52</f>
        <v/>
      </c>
      <c r="AB53" s="8">
        <f>AB50+AB51+AB52</f>
        <v/>
      </c>
      <c r="AC53" s="8">
        <f>AC50+AC51+AC52</f>
        <v/>
      </c>
      <c r="AD53" s="8">
        <f>AD50+AD51+AD52</f>
        <v/>
      </c>
      <c r="AE53" s="8">
        <f>AE50+AE51+AE52</f>
        <v/>
      </c>
    </row>
    <row r="54">
      <c r="A54" s="11" t="inlineStr">
        <is>
          <t>Heir-Adjusted Value</t>
        </is>
      </c>
      <c r="B54" s="8">
        <f>B50+B51*(1-HeirTaxRate)+B52</f>
        <v/>
      </c>
      <c r="C54" s="8">
        <f>C50+C51*(1-HeirTaxRate)+C52</f>
        <v/>
      </c>
      <c r="D54" s="8">
        <f>D50+D51*(1-HeirTaxRate)+D52</f>
        <v/>
      </c>
      <c r="E54" s="8">
        <f>E50+E51*(1-HeirTaxRate)+E52</f>
        <v/>
      </c>
      <c r="F54" s="8">
        <f>F50+F51*(1-HeirTaxRate)+F52</f>
        <v/>
      </c>
      <c r="G54" s="8">
        <f>G50+G51*(1-HeirTaxRate)+G52</f>
        <v/>
      </c>
      <c r="H54" s="8">
        <f>H50+H51*(1-HeirTaxRate)+H52</f>
        <v/>
      </c>
      <c r="I54" s="8">
        <f>I50+I51*(1-HeirTaxRate)+I52</f>
        <v/>
      </c>
      <c r="J54" s="8">
        <f>J50+J51*(1-HeirTaxRate)+J52</f>
        <v/>
      </c>
      <c r="K54" s="8">
        <f>K50+K51*(1-HeirTaxRate)+K52</f>
        <v/>
      </c>
      <c r="L54" s="8">
        <f>L50+L51*(1-HeirTaxRate)+L52</f>
        <v/>
      </c>
      <c r="M54" s="8">
        <f>M50+M51*(1-HeirTaxRate)+M52</f>
        <v/>
      </c>
      <c r="N54" s="8">
        <f>N50+N51*(1-HeirTaxRate)+N52</f>
        <v/>
      </c>
      <c r="O54" s="8">
        <f>O50+O51*(1-HeirTaxRate)+O52</f>
        <v/>
      </c>
      <c r="P54" s="8">
        <f>P50+P51*(1-HeirTaxRate)+P52</f>
        <v/>
      </c>
      <c r="Q54" s="8">
        <f>Q50+Q51*(1-HeirTaxRate)+Q52</f>
        <v/>
      </c>
      <c r="R54" s="8">
        <f>R50+R51*(1-HeirTaxRate)+R52</f>
        <v/>
      </c>
      <c r="S54" s="8">
        <f>S50+S51*(1-HeirTaxRate)+S52</f>
        <v/>
      </c>
      <c r="T54" s="8">
        <f>T50+T51*(1-HeirTaxRate)+T52</f>
        <v/>
      </c>
      <c r="U54" s="8">
        <f>U50+U51*(1-HeirTaxRate)+U52</f>
        <v/>
      </c>
      <c r="V54" s="8">
        <f>V50+V51*(1-HeirTaxRate)+V52</f>
        <v/>
      </c>
      <c r="W54" s="8">
        <f>W50+W51*(1-HeirTaxRate)+W52</f>
        <v/>
      </c>
      <c r="X54" s="8">
        <f>X50+X51*(1-HeirTaxRate)+X52</f>
        <v/>
      </c>
      <c r="Y54" s="8">
        <f>Y50+Y51*(1-HeirTaxRate)+Y52</f>
        <v/>
      </c>
      <c r="Z54" s="8">
        <f>Z50+Z51*(1-HeirTaxRate)+Z52</f>
        <v/>
      </c>
      <c r="AA54" s="8">
        <f>AA50+AA51*(1-HeirTaxRate)+AA52</f>
        <v/>
      </c>
      <c r="AB54" s="8">
        <f>AB50+AB51*(1-HeirTaxRate)+AB52</f>
        <v/>
      </c>
      <c r="AC54" s="8">
        <f>AC50+AC51*(1-HeirTaxRate)+AC52</f>
        <v/>
      </c>
      <c r="AD54" s="8">
        <f>AD50+AD51*(1-HeirTaxRate)+AD52</f>
        <v/>
      </c>
      <c r="AE54" s="8">
        <f>AE50+AE51*(1-HeirTaxRate)+AE52</f>
        <v/>
      </c>
    </row>
    <row r="55">
      <c r="A55" t="inlineStr"/>
    </row>
    <row r="56">
      <c r="A56" s="12" t="inlineStr">
        <is>
          <t>PRESENT VALUES (2026$)</t>
        </is>
      </c>
    </row>
    <row r="57">
      <c r="A57" s="11" t="inlineStr">
        <is>
          <t>PV After-Tax</t>
        </is>
      </c>
      <c r="B57" s="8">
        <f>B50/(1+DiscountRate)^0</f>
        <v/>
      </c>
      <c r="C57" s="8">
        <f>C50/(1+DiscountRate)^1</f>
        <v/>
      </c>
      <c r="D57" s="8">
        <f>D50/(1+DiscountRate)^2</f>
        <v/>
      </c>
      <c r="E57" s="8">
        <f>E50/(1+DiscountRate)^3</f>
        <v/>
      </c>
      <c r="F57" s="8">
        <f>F50/(1+DiscountRate)^4</f>
        <v/>
      </c>
      <c r="G57" s="8">
        <f>G50/(1+DiscountRate)^5</f>
        <v/>
      </c>
      <c r="H57" s="8">
        <f>H50/(1+DiscountRate)^6</f>
        <v/>
      </c>
      <c r="I57" s="8">
        <f>I50/(1+DiscountRate)^7</f>
        <v/>
      </c>
      <c r="J57" s="8">
        <f>J50/(1+DiscountRate)^8</f>
        <v/>
      </c>
      <c r="K57" s="8">
        <f>K50/(1+DiscountRate)^9</f>
        <v/>
      </c>
      <c r="L57" s="8">
        <f>L50/(1+DiscountRate)^10</f>
        <v/>
      </c>
      <c r="M57" s="8">
        <f>M50/(1+DiscountRate)^11</f>
        <v/>
      </c>
      <c r="N57" s="8">
        <f>N50/(1+DiscountRate)^12</f>
        <v/>
      </c>
      <c r="O57" s="8">
        <f>O50/(1+DiscountRate)^13</f>
        <v/>
      </c>
      <c r="P57" s="8">
        <f>P50/(1+DiscountRate)^14</f>
        <v/>
      </c>
      <c r="Q57" s="8">
        <f>Q50/(1+DiscountRate)^15</f>
        <v/>
      </c>
      <c r="R57" s="8">
        <f>R50/(1+DiscountRate)^16</f>
        <v/>
      </c>
      <c r="S57" s="8">
        <f>S50/(1+DiscountRate)^17</f>
        <v/>
      </c>
      <c r="T57" s="8">
        <f>T50/(1+DiscountRate)^18</f>
        <v/>
      </c>
      <c r="U57" s="8">
        <f>U50/(1+DiscountRate)^19</f>
        <v/>
      </c>
      <c r="V57" s="8">
        <f>V50/(1+DiscountRate)^20</f>
        <v/>
      </c>
      <c r="W57" s="8">
        <f>W50/(1+DiscountRate)^21</f>
        <v/>
      </c>
      <c r="X57" s="8">
        <f>X50/(1+DiscountRate)^22</f>
        <v/>
      </c>
      <c r="Y57" s="8">
        <f>Y50/(1+DiscountRate)^23</f>
        <v/>
      </c>
      <c r="Z57" s="8">
        <f>Z50/(1+DiscountRate)^24</f>
        <v/>
      </c>
      <c r="AA57" s="8">
        <f>AA50/(1+DiscountRate)^25</f>
        <v/>
      </c>
      <c r="AB57" s="8">
        <f>AB50/(1+DiscountRate)^26</f>
        <v/>
      </c>
      <c r="AC57" s="8">
        <f>AC50/(1+DiscountRate)^27</f>
        <v/>
      </c>
      <c r="AD57" s="8">
        <f>AD50/(1+DiscountRate)^28</f>
        <v/>
      </c>
      <c r="AE57" s="8">
        <f>AE50/(1+DiscountRate)^29</f>
        <v/>
      </c>
    </row>
    <row r="58">
      <c r="A58" s="11" t="inlineStr">
        <is>
          <t>PV Traditional IRA</t>
        </is>
      </c>
      <c r="B58" s="8">
        <f>B51/(1+DiscountRate)^0</f>
        <v/>
      </c>
      <c r="C58" s="8">
        <f>C51/(1+DiscountRate)^1</f>
        <v/>
      </c>
      <c r="D58" s="8">
        <f>D51/(1+DiscountRate)^2</f>
        <v/>
      </c>
      <c r="E58" s="8">
        <f>E51/(1+DiscountRate)^3</f>
        <v/>
      </c>
      <c r="F58" s="8">
        <f>F51/(1+DiscountRate)^4</f>
        <v/>
      </c>
      <c r="G58" s="8">
        <f>G51/(1+DiscountRate)^5</f>
        <v/>
      </c>
      <c r="H58" s="8">
        <f>H51/(1+DiscountRate)^6</f>
        <v/>
      </c>
      <c r="I58" s="8">
        <f>I51/(1+DiscountRate)^7</f>
        <v/>
      </c>
      <c r="J58" s="8">
        <f>J51/(1+DiscountRate)^8</f>
        <v/>
      </c>
      <c r="K58" s="8">
        <f>K51/(1+DiscountRate)^9</f>
        <v/>
      </c>
      <c r="L58" s="8">
        <f>L51/(1+DiscountRate)^10</f>
        <v/>
      </c>
      <c r="M58" s="8">
        <f>M51/(1+DiscountRate)^11</f>
        <v/>
      </c>
      <c r="N58" s="8">
        <f>N51/(1+DiscountRate)^12</f>
        <v/>
      </c>
      <c r="O58" s="8">
        <f>O51/(1+DiscountRate)^13</f>
        <v/>
      </c>
      <c r="P58" s="8">
        <f>P51/(1+DiscountRate)^14</f>
        <v/>
      </c>
      <c r="Q58" s="8">
        <f>Q51/(1+DiscountRate)^15</f>
        <v/>
      </c>
      <c r="R58" s="8">
        <f>R51/(1+DiscountRate)^16</f>
        <v/>
      </c>
      <c r="S58" s="8">
        <f>S51/(1+DiscountRate)^17</f>
        <v/>
      </c>
      <c r="T58" s="8">
        <f>T51/(1+DiscountRate)^18</f>
        <v/>
      </c>
      <c r="U58" s="8">
        <f>U51/(1+DiscountRate)^19</f>
        <v/>
      </c>
      <c r="V58" s="8">
        <f>V51/(1+DiscountRate)^20</f>
        <v/>
      </c>
      <c r="W58" s="8">
        <f>W51/(1+DiscountRate)^21</f>
        <v/>
      </c>
      <c r="X58" s="8">
        <f>X51/(1+DiscountRate)^22</f>
        <v/>
      </c>
      <c r="Y58" s="8">
        <f>Y51/(1+DiscountRate)^23</f>
        <v/>
      </c>
      <c r="Z58" s="8">
        <f>Z51/(1+DiscountRate)^24</f>
        <v/>
      </c>
      <c r="AA58" s="8">
        <f>AA51/(1+DiscountRate)^25</f>
        <v/>
      </c>
      <c r="AB58" s="8">
        <f>AB51/(1+DiscountRate)^26</f>
        <v/>
      </c>
      <c r="AC58" s="8">
        <f>AC51/(1+DiscountRate)^27</f>
        <v/>
      </c>
      <c r="AD58" s="8">
        <f>AD51/(1+DiscountRate)^28</f>
        <v/>
      </c>
      <c r="AE58" s="8">
        <f>AE51/(1+DiscountRate)^29</f>
        <v/>
      </c>
    </row>
    <row r="59">
      <c r="A59" s="11" t="inlineStr">
        <is>
          <t>PV Roth IRA</t>
        </is>
      </c>
      <c r="B59" s="8">
        <f>B52/(1+DiscountRate)^0</f>
        <v/>
      </c>
      <c r="C59" s="8">
        <f>C52/(1+DiscountRate)^1</f>
        <v/>
      </c>
      <c r="D59" s="8">
        <f>D52/(1+DiscountRate)^2</f>
        <v/>
      </c>
      <c r="E59" s="8">
        <f>E52/(1+DiscountRate)^3</f>
        <v/>
      </c>
      <c r="F59" s="8">
        <f>F52/(1+DiscountRate)^4</f>
        <v/>
      </c>
      <c r="G59" s="8">
        <f>G52/(1+DiscountRate)^5</f>
        <v/>
      </c>
      <c r="H59" s="8">
        <f>H52/(1+DiscountRate)^6</f>
        <v/>
      </c>
      <c r="I59" s="8">
        <f>I52/(1+DiscountRate)^7</f>
        <v/>
      </c>
      <c r="J59" s="8">
        <f>J52/(1+DiscountRate)^8</f>
        <v/>
      </c>
      <c r="K59" s="8">
        <f>K52/(1+DiscountRate)^9</f>
        <v/>
      </c>
      <c r="L59" s="8">
        <f>L52/(1+DiscountRate)^10</f>
        <v/>
      </c>
      <c r="M59" s="8">
        <f>M52/(1+DiscountRate)^11</f>
        <v/>
      </c>
      <c r="N59" s="8">
        <f>N52/(1+DiscountRate)^12</f>
        <v/>
      </c>
      <c r="O59" s="8">
        <f>O52/(1+DiscountRate)^13</f>
        <v/>
      </c>
      <c r="P59" s="8">
        <f>P52/(1+DiscountRate)^14</f>
        <v/>
      </c>
      <c r="Q59" s="8">
        <f>Q52/(1+DiscountRate)^15</f>
        <v/>
      </c>
      <c r="R59" s="8">
        <f>R52/(1+DiscountRate)^16</f>
        <v/>
      </c>
      <c r="S59" s="8">
        <f>S52/(1+DiscountRate)^17</f>
        <v/>
      </c>
      <c r="T59" s="8">
        <f>T52/(1+DiscountRate)^18</f>
        <v/>
      </c>
      <c r="U59" s="8">
        <f>U52/(1+DiscountRate)^19</f>
        <v/>
      </c>
      <c r="V59" s="8">
        <f>V52/(1+DiscountRate)^20</f>
        <v/>
      </c>
      <c r="W59" s="8">
        <f>W52/(1+DiscountRate)^21</f>
        <v/>
      </c>
      <c r="X59" s="8">
        <f>X52/(1+DiscountRate)^22</f>
        <v/>
      </c>
      <c r="Y59" s="8">
        <f>Y52/(1+DiscountRate)^23</f>
        <v/>
      </c>
      <c r="Z59" s="8">
        <f>Z52/(1+DiscountRate)^24</f>
        <v/>
      </c>
      <c r="AA59" s="8">
        <f>AA52/(1+DiscountRate)^25</f>
        <v/>
      </c>
      <c r="AB59" s="8">
        <f>AB52/(1+DiscountRate)^26</f>
        <v/>
      </c>
      <c r="AC59" s="8">
        <f>AC52/(1+DiscountRate)^27</f>
        <v/>
      </c>
      <c r="AD59" s="8">
        <f>AD52/(1+DiscountRate)^28</f>
        <v/>
      </c>
      <c r="AE59" s="8">
        <f>AE52/(1+DiscountRate)^29</f>
        <v/>
      </c>
    </row>
    <row r="60">
      <c r="A60" s="11" t="inlineStr">
        <is>
          <t>PV Total</t>
        </is>
      </c>
      <c r="B60" s="8">
        <f>B53/(1+DiscountRate)^0</f>
        <v/>
      </c>
      <c r="C60" s="8">
        <f>C53/(1+DiscountRate)^1</f>
        <v/>
      </c>
      <c r="D60" s="8">
        <f>D53/(1+DiscountRate)^2</f>
        <v/>
      </c>
      <c r="E60" s="8">
        <f>E53/(1+DiscountRate)^3</f>
        <v/>
      </c>
      <c r="F60" s="8">
        <f>F53/(1+DiscountRate)^4</f>
        <v/>
      </c>
      <c r="G60" s="8">
        <f>G53/(1+DiscountRate)^5</f>
        <v/>
      </c>
      <c r="H60" s="8">
        <f>H53/(1+DiscountRate)^6</f>
        <v/>
      </c>
      <c r="I60" s="8">
        <f>I53/(1+DiscountRate)^7</f>
        <v/>
      </c>
      <c r="J60" s="8">
        <f>J53/(1+DiscountRate)^8</f>
        <v/>
      </c>
      <c r="K60" s="8">
        <f>K53/(1+DiscountRate)^9</f>
        <v/>
      </c>
      <c r="L60" s="8">
        <f>L53/(1+DiscountRate)^10</f>
        <v/>
      </c>
      <c r="M60" s="8">
        <f>M53/(1+DiscountRate)^11</f>
        <v/>
      </c>
      <c r="N60" s="8">
        <f>N53/(1+DiscountRate)^12</f>
        <v/>
      </c>
      <c r="O60" s="8">
        <f>O53/(1+DiscountRate)^13</f>
        <v/>
      </c>
      <c r="P60" s="8">
        <f>P53/(1+DiscountRate)^14</f>
        <v/>
      </c>
      <c r="Q60" s="8">
        <f>Q53/(1+DiscountRate)^15</f>
        <v/>
      </c>
      <c r="R60" s="8">
        <f>R53/(1+DiscountRate)^16</f>
        <v/>
      </c>
      <c r="S60" s="8">
        <f>S53/(1+DiscountRate)^17</f>
        <v/>
      </c>
      <c r="T60" s="8">
        <f>T53/(1+DiscountRate)^18</f>
        <v/>
      </c>
      <c r="U60" s="8">
        <f>U53/(1+DiscountRate)^19</f>
        <v/>
      </c>
      <c r="V60" s="8">
        <f>V53/(1+DiscountRate)^20</f>
        <v/>
      </c>
      <c r="W60" s="8">
        <f>W53/(1+DiscountRate)^21</f>
        <v/>
      </c>
      <c r="X60" s="8">
        <f>X53/(1+DiscountRate)^22</f>
        <v/>
      </c>
      <c r="Y60" s="8">
        <f>Y53/(1+DiscountRate)^23</f>
        <v/>
      </c>
      <c r="Z60" s="8">
        <f>Z53/(1+DiscountRate)^24</f>
        <v/>
      </c>
      <c r="AA60" s="8">
        <f>AA53/(1+DiscountRate)^25</f>
        <v/>
      </c>
      <c r="AB60" s="8">
        <f>AB53/(1+DiscountRate)^26</f>
        <v/>
      </c>
      <c r="AC60" s="8">
        <f>AC53/(1+DiscountRate)^27</f>
        <v/>
      </c>
      <c r="AD60" s="8">
        <f>AD53/(1+DiscountRate)^28</f>
        <v/>
      </c>
      <c r="AE60" s="8">
        <f>AE53/(1+DiscountRate)^29</f>
        <v/>
      </c>
    </row>
    <row r="61">
      <c r="A61" s="11" t="inlineStr">
        <is>
          <t>PV Heir-Adjusted</t>
        </is>
      </c>
      <c r="B61" s="8">
        <f>B54/(1+DiscountRate)^0</f>
        <v/>
      </c>
      <c r="C61" s="8">
        <f>C54/(1+DiscountRate)^1</f>
        <v/>
      </c>
      <c r="D61" s="8">
        <f>D54/(1+DiscountRate)^2</f>
        <v/>
      </c>
      <c r="E61" s="8">
        <f>E54/(1+DiscountRate)^3</f>
        <v/>
      </c>
      <c r="F61" s="8">
        <f>F54/(1+DiscountRate)^4</f>
        <v/>
      </c>
      <c r="G61" s="8">
        <f>G54/(1+DiscountRate)^5</f>
        <v/>
      </c>
      <c r="H61" s="8">
        <f>H54/(1+DiscountRate)^6</f>
        <v/>
      </c>
      <c r="I61" s="8">
        <f>I54/(1+DiscountRate)^7</f>
        <v/>
      </c>
      <c r="J61" s="8">
        <f>J54/(1+DiscountRate)^8</f>
        <v/>
      </c>
      <c r="K61" s="8">
        <f>K54/(1+DiscountRate)^9</f>
        <v/>
      </c>
      <c r="L61" s="8">
        <f>L54/(1+DiscountRate)^10</f>
        <v/>
      </c>
      <c r="M61" s="8">
        <f>M54/(1+DiscountRate)^11</f>
        <v/>
      </c>
      <c r="N61" s="8">
        <f>N54/(1+DiscountRate)^12</f>
        <v/>
      </c>
      <c r="O61" s="8">
        <f>O54/(1+DiscountRate)^13</f>
        <v/>
      </c>
      <c r="P61" s="8">
        <f>P54/(1+DiscountRate)^14</f>
        <v/>
      </c>
      <c r="Q61" s="8">
        <f>Q54/(1+DiscountRate)^15</f>
        <v/>
      </c>
      <c r="R61" s="8">
        <f>R54/(1+DiscountRate)^16</f>
        <v/>
      </c>
      <c r="S61" s="8">
        <f>S54/(1+DiscountRate)^17</f>
        <v/>
      </c>
      <c r="T61" s="8">
        <f>T54/(1+DiscountRate)^18</f>
        <v/>
      </c>
      <c r="U61" s="8">
        <f>U54/(1+DiscountRate)^19</f>
        <v/>
      </c>
      <c r="V61" s="8">
        <f>V54/(1+DiscountRate)^20</f>
        <v/>
      </c>
      <c r="W61" s="8">
        <f>W54/(1+DiscountRate)^21</f>
        <v/>
      </c>
      <c r="X61" s="8">
        <f>X54/(1+DiscountRate)^22</f>
        <v/>
      </c>
      <c r="Y61" s="8">
        <f>Y54/(1+DiscountRate)^23</f>
        <v/>
      </c>
      <c r="Z61" s="8">
        <f>Z54/(1+DiscountRate)^24</f>
        <v/>
      </c>
      <c r="AA61" s="8">
        <f>AA54/(1+DiscountRate)^25</f>
        <v/>
      </c>
      <c r="AB61" s="8">
        <f>AB54/(1+DiscountRate)^26</f>
        <v/>
      </c>
      <c r="AC61" s="8">
        <f>AC54/(1+DiscountRate)^27</f>
        <v/>
      </c>
      <c r="AD61" s="8">
        <f>AD54/(1+DiscountRate)^28</f>
        <v/>
      </c>
      <c r="AE61" s="8">
        <f>AE54/(1+DiscountRate)^29</f>
        <v/>
      </c>
    </row>
    <row r="62">
      <c r="A62" s="11" t="inlineStr">
        <is>
          <t>PV Expenses</t>
        </is>
      </c>
      <c r="B62" s="8">
        <f>B15/(1+DiscountRate)^0</f>
        <v/>
      </c>
      <c r="C62" s="8">
        <f>C15/(1+DiscountRate)^1</f>
        <v/>
      </c>
      <c r="D62" s="8">
        <f>D15/(1+DiscountRate)^2</f>
        <v/>
      </c>
      <c r="E62" s="8">
        <f>E15/(1+DiscountRate)^3</f>
        <v/>
      </c>
      <c r="F62" s="8">
        <f>F15/(1+DiscountRate)^4</f>
        <v/>
      </c>
      <c r="G62" s="8">
        <f>G15/(1+DiscountRate)^5</f>
        <v/>
      </c>
      <c r="H62" s="8">
        <f>H15/(1+DiscountRate)^6</f>
        <v/>
      </c>
      <c r="I62" s="8">
        <f>I15/(1+DiscountRate)^7</f>
        <v/>
      </c>
      <c r="J62" s="8">
        <f>J15/(1+DiscountRate)^8</f>
        <v/>
      </c>
      <c r="K62" s="8">
        <f>K15/(1+DiscountRate)^9</f>
        <v/>
      </c>
      <c r="L62" s="8">
        <f>L15/(1+DiscountRate)^10</f>
        <v/>
      </c>
      <c r="M62" s="8">
        <f>M15/(1+DiscountRate)^11</f>
        <v/>
      </c>
      <c r="N62" s="8">
        <f>N15/(1+DiscountRate)^12</f>
        <v/>
      </c>
      <c r="O62" s="8">
        <f>O15/(1+DiscountRate)^13</f>
        <v/>
      </c>
      <c r="P62" s="8">
        <f>P15/(1+DiscountRate)^14</f>
        <v/>
      </c>
      <c r="Q62" s="8">
        <f>Q15/(1+DiscountRate)^15</f>
        <v/>
      </c>
      <c r="R62" s="8">
        <f>R15/(1+DiscountRate)^16</f>
        <v/>
      </c>
      <c r="S62" s="8">
        <f>S15/(1+DiscountRate)^17</f>
        <v/>
      </c>
      <c r="T62" s="8">
        <f>T15/(1+DiscountRate)^18</f>
        <v/>
      </c>
      <c r="U62" s="8">
        <f>U15/(1+DiscountRate)^19</f>
        <v/>
      </c>
      <c r="V62" s="8">
        <f>V15/(1+DiscountRate)^20</f>
        <v/>
      </c>
      <c r="W62" s="8">
        <f>W15/(1+DiscountRate)^21</f>
        <v/>
      </c>
      <c r="X62" s="8">
        <f>X15/(1+DiscountRate)^22</f>
        <v/>
      </c>
      <c r="Y62" s="8">
        <f>Y15/(1+DiscountRate)^23</f>
        <v/>
      </c>
      <c r="Z62" s="8">
        <f>Z15/(1+DiscountRate)^24</f>
        <v/>
      </c>
      <c r="AA62" s="8">
        <f>AA15/(1+DiscountRate)^25</f>
        <v/>
      </c>
      <c r="AB62" s="8">
        <f>AB15/(1+DiscountRate)^26</f>
        <v/>
      </c>
      <c r="AC62" s="8">
        <f>AC15/(1+DiscountRate)^27</f>
        <v/>
      </c>
      <c r="AD62" s="8">
        <f>AD15/(1+DiscountRate)^28</f>
        <v/>
      </c>
      <c r="AE62" s="8">
        <f>AE15/(1+DiscountRate)^29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1" t="inlineStr">
        <is>
          <t>Year</t>
        </is>
      </c>
      <c r="B1">
        <f>Projections!B1</f>
        <v/>
      </c>
      <c r="C1">
        <f>Projections!C1</f>
        <v/>
      </c>
      <c r="D1">
        <f>Projections!D1</f>
        <v/>
      </c>
      <c r="E1">
        <f>Projections!E1</f>
        <v/>
      </c>
      <c r="F1">
        <f>Projections!F1</f>
        <v/>
      </c>
      <c r="G1">
        <f>Projections!G1</f>
        <v/>
      </c>
      <c r="H1">
        <f>Projections!H1</f>
        <v/>
      </c>
      <c r="I1">
        <f>Projections!I1</f>
        <v/>
      </c>
      <c r="J1">
        <f>Projections!J1</f>
        <v/>
      </c>
      <c r="K1">
        <f>Projections!K1</f>
        <v/>
      </c>
      <c r="L1">
        <f>Projections!L1</f>
        <v/>
      </c>
      <c r="M1">
        <f>Projections!M1</f>
        <v/>
      </c>
      <c r="N1">
        <f>Projections!N1</f>
        <v/>
      </c>
      <c r="O1">
        <f>Projections!O1</f>
        <v/>
      </c>
      <c r="P1">
        <f>Projections!P1</f>
        <v/>
      </c>
      <c r="Q1">
        <f>Projections!Q1</f>
        <v/>
      </c>
      <c r="R1">
        <f>Projections!R1</f>
        <v/>
      </c>
      <c r="S1">
        <f>Projections!S1</f>
        <v/>
      </c>
      <c r="T1">
        <f>Projections!T1</f>
        <v/>
      </c>
      <c r="U1">
        <f>Projections!U1</f>
        <v/>
      </c>
      <c r="V1">
        <f>Projections!V1</f>
        <v/>
      </c>
      <c r="W1">
        <f>Projections!W1</f>
        <v/>
      </c>
      <c r="X1">
        <f>Projections!X1</f>
        <v/>
      </c>
      <c r="Y1">
        <f>Projections!Y1</f>
        <v/>
      </c>
      <c r="Z1">
        <f>Projections!Z1</f>
        <v/>
      </c>
      <c r="AA1">
        <f>Projections!AA1</f>
        <v/>
      </c>
      <c r="AB1">
        <f>Projections!AB1</f>
        <v/>
      </c>
      <c r="AC1">
        <f>Projections!AC1</f>
        <v/>
      </c>
      <c r="AD1">
        <f>Projections!AD1</f>
        <v/>
      </c>
      <c r="AE1">
        <f>Projections!AE1</f>
        <v/>
      </c>
    </row>
    <row r="2">
      <c r="A2" t="inlineStr"/>
    </row>
    <row r="3">
      <c r="A3" s="12" t="inlineStr">
        <is>
          <t>ACCOUNT BALANCES (from Projections)</t>
        </is>
      </c>
    </row>
    <row r="4">
      <c r="A4" s="11" t="inlineStr">
        <is>
          <t>After-Tax</t>
        </is>
      </c>
      <c r="B4" s="8">
        <f>Projections!B7</f>
        <v/>
      </c>
      <c r="C4" s="8">
        <f>Projections!C7</f>
        <v/>
      </c>
      <c r="D4" s="8">
        <f>Projections!D7</f>
        <v/>
      </c>
      <c r="E4" s="8">
        <f>Projections!E7</f>
        <v/>
      </c>
      <c r="F4" s="8">
        <f>Projections!F7</f>
        <v/>
      </c>
      <c r="G4" s="8">
        <f>Projections!G7</f>
        <v/>
      </c>
      <c r="H4" s="8">
        <f>Projections!H7</f>
        <v/>
      </c>
      <c r="I4" s="8">
        <f>Projections!I7</f>
        <v/>
      </c>
      <c r="J4" s="8">
        <f>Projections!J7</f>
        <v/>
      </c>
      <c r="K4" s="8">
        <f>Projections!K7</f>
        <v/>
      </c>
      <c r="L4" s="8">
        <f>Projections!L7</f>
        <v/>
      </c>
      <c r="M4" s="8">
        <f>Projections!M7</f>
        <v/>
      </c>
      <c r="N4" s="8">
        <f>Projections!N7</f>
        <v/>
      </c>
      <c r="O4" s="8">
        <f>Projections!O7</f>
        <v/>
      </c>
      <c r="P4" s="8">
        <f>Projections!P7</f>
        <v/>
      </c>
      <c r="Q4" s="8">
        <f>Projections!Q7</f>
        <v/>
      </c>
      <c r="R4" s="8">
        <f>Projections!R7</f>
        <v/>
      </c>
      <c r="S4" s="8">
        <f>Projections!S7</f>
        <v/>
      </c>
      <c r="T4" s="8">
        <f>Projections!T7</f>
        <v/>
      </c>
      <c r="U4" s="8">
        <f>Projections!U7</f>
        <v/>
      </c>
      <c r="V4" s="8">
        <f>Projections!V7</f>
        <v/>
      </c>
      <c r="W4" s="8">
        <f>Projections!W7</f>
        <v/>
      </c>
      <c r="X4" s="8">
        <f>Projections!X7</f>
        <v/>
      </c>
      <c r="Y4" s="8">
        <f>Projections!Y7</f>
        <v/>
      </c>
      <c r="Z4" s="8">
        <f>Projections!Z7</f>
        <v/>
      </c>
      <c r="AA4" s="8">
        <f>Projections!AA7</f>
        <v/>
      </c>
      <c r="AB4" s="8">
        <f>Projections!AB7</f>
        <v/>
      </c>
      <c r="AC4" s="8">
        <f>Projections!AC7</f>
        <v/>
      </c>
      <c r="AD4" s="8">
        <f>Projections!AD7</f>
        <v/>
      </c>
      <c r="AE4" s="8">
        <f>Projections!AE7</f>
        <v/>
      </c>
    </row>
    <row r="5">
      <c r="A5" s="11" t="inlineStr">
        <is>
          <t>Traditional IRA</t>
        </is>
      </c>
      <c r="B5" s="8">
        <f>Projections!B8</f>
        <v/>
      </c>
      <c r="C5" s="8">
        <f>Projections!C8</f>
        <v/>
      </c>
      <c r="D5" s="8">
        <f>Projections!D8</f>
        <v/>
      </c>
      <c r="E5" s="8">
        <f>Projections!E8</f>
        <v/>
      </c>
      <c r="F5" s="8">
        <f>Projections!F8</f>
        <v/>
      </c>
      <c r="G5" s="8">
        <f>Projections!G8</f>
        <v/>
      </c>
      <c r="H5" s="8">
        <f>Projections!H8</f>
        <v/>
      </c>
      <c r="I5" s="8">
        <f>Projections!I8</f>
        <v/>
      </c>
      <c r="J5" s="8">
        <f>Projections!J8</f>
        <v/>
      </c>
      <c r="K5" s="8">
        <f>Projections!K8</f>
        <v/>
      </c>
      <c r="L5" s="8">
        <f>Projections!L8</f>
        <v/>
      </c>
      <c r="M5" s="8">
        <f>Projections!M8</f>
        <v/>
      </c>
      <c r="N5" s="8">
        <f>Projections!N8</f>
        <v/>
      </c>
      <c r="O5" s="8">
        <f>Projections!O8</f>
        <v/>
      </c>
      <c r="P5" s="8">
        <f>Projections!P8</f>
        <v/>
      </c>
      <c r="Q5" s="8">
        <f>Projections!Q8</f>
        <v/>
      </c>
      <c r="R5" s="8">
        <f>Projections!R8</f>
        <v/>
      </c>
      <c r="S5" s="8">
        <f>Projections!S8</f>
        <v/>
      </c>
      <c r="T5" s="8">
        <f>Projections!T8</f>
        <v/>
      </c>
      <c r="U5" s="8">
        <f>Projections!U8</f>
        <v/>
      </c>
      <c r="V5" s="8">
        <f>Projections!V8</f>
        <v/>
      </c>
      <c r="W5" s="8">
        <f>Projections!W8</f>
        <v/>
      </c>
      <c r="X5" s="8">
        <f>Projections!X8</f>
        <v/>
      </c>
      <c r="Y5" s="8">
        <f>Projections!Y8</f>
        <v/>
      </c>
      <c r="Z5" s="8">
        <f>Projections!Z8</f>
        <v/>
      </c>
      <c r="AA5" s="8">
        <f>Projections!AA8</f>
        <v/>
      </c>
      <c r="AB5" s="8">
        <f>Projections!AB8</f>
        <v/>
      </c>
      <c r="AC5" s="8">
        <f>Projections!AC8</f>
        <v/>
      </c>
      <c r="AD5" s="8">
        <f>Projections!AD8</f>
        <v/>
      </c>
      <c r="AE5" s="8">
        <f>Projections!AE8</f>
        <v/>
      </c>
    </row>
    <row r="6">
      <c r="A6" s="11" t="inlineStr">
        <is>
          <t>Roth IRA</t>
        </is>
      </c>
      <c r="B6" s="8">
        <f>Projections!B9</f>
        <v/>
      </c>
      <c r="C6" s="8">
        <f>Projections!C9</f>
        <v/>
      </c>
      <c r="D6" s="8">
        <f>Projections!D9</f>
        <v/>
      </c>
      <c r="E6" s="8">
        <f>Projections!E9</f>
        <v/>
      </c>
      <c r="F6" s="8">
        <f>Projections!F9</f>
        <v/>
      </c>
      <c r="G6" s="8">
        <f>Projections!G9</f>
        <v/>
      </c>
      <c r="H6" s="8">
        <f>Projections!H9</f>
        <v/>
      </c>
      <c r="I6" s="8">
        <f>Projections!I9</f>
        <v/>
      </c>
      <c r="J6" s="8">
        <f>Projections!J9</f>
        <v/>
      </c>
      <c r="K6" s="8">
        <f>Projections!K9</f>
        <v/>
      </c>
      <c r="L6" s="8">
        <f>Projections!L9</f>
        <v/>
      </c>
      <c r="M6" s="8">
        <f>Projections!M9</f>
        <v/>
      </c>
      <c r="N6" s="8">
        <f>Projections!N9</f>
        <v/>
      </c>
      <c r="O6" s="8">
        <f>Projections!O9</f>
        <v/>
      </c>
      <c r="P6" s="8">
        <f>Projections!P9</f>
        <v/>
      </c>
      <c r="Q6" s="8">
        <f>Projections!Q9</f>
        <v/>
      </c>
      <c r="R6" s="8">
        <f>Projections!R9</f>
        <v/>
      </c>
      <c r="S6" s="8">
        <f>Projections!S9</f>
        <v/>
      </c>
      <c r="T6" s="8">
        <f>Projections!T9</f>
        <v/>
      </c>
      <c r="U6" s="8">
        <f>Projections!U9</f>
        <v/>
      </c>
      <c r="V6" s="8">
        <f>Projections!V9</f>
        <v/>
      </c>
      <c r="W6" s="8">
        <f>Projections!W9</f>
        <v/>
      </c>
      <c r="X6" s="8">
        <f>Projections!X9</f>
        <v/>
      </c>
      <c r="Y6" s="8">
        <f>Projections!Y9</f>
        <v/>
      </c>
      <c r="Z6" s="8">
        <f>Projections!Z9</f>
        <v/>
      </c>
      <c r="AA6" s="8">
        <f>Projections!AA9</f>
        <v/>
      </c>
      <c r="AB6" s="8">
        <f>Projections!AB9</f>
        <v/>
      </c>
      <c r="AC6" s="8">
        <f>Projections!AC9</f>
        <v/>
      </c>
      <c r="AD6" s="8">
        <f>Projections!AD9</f>
        <v/>
      </c>
      <c r="AE6" s="8">
        <f>Projections!AE9</f>
        <v/>
      </c>
    </row>
    <row r="7">
      <c r="A7" s="11" t="inlineStr">
        <is>
          <t>Total Portfolio</t>
        </is>
      </c>
      <c r="B7" s="8">
        <f>B4+B5+B6</f>
        <v/>
      </c>
      <c r="C7" s="8">
        <f>C4+C5+C6</f>
        <v/>
      </c>
      <c r="D7" s="8">
        <f>D4+D5+D6</f>
        <v/>
      </c>
      <c r="E7" s="8">
        <f>E4+E5+E6</f>
        <v/>
      </c>
      <c r="F7" s="8">
        <f>F4+F5+F6</f>
        <v/>
      </c>
      <c r="G7" s="8">
        <f>G4+G5+G6</f>
        <v/>
      </c>
      <c r="H7" s="8">
        <f>H4+H5+H6</f>
        <v/>
      </c>
      <c r="I7" s="8">
        <f>I4+I5+I6</f>
        <v/>
      </c>
      <c r="J7" s="8">
        <f>J4+J5+J6</f>
        <v/>
      </c>
      <c r="K7" s="8">
        <f>K4+K5+K6</f>
        <v/>
      </c>
      <c r="L7" s="8">
        <f>L4+L5+L6</f>
        <v/>
      </c>
      <c r="M7" s="8">
        <f>M4+M5+M6</f>
        <v/>
      </c>
      <c r="N7" s="8">
        <f>N4+N5+N6</f>
        <v/>
      </c>
      <c r="O7" s="8">
        <f>O4+O5+O6</f>
        <v/>
      </c>
      <c r="P7" s="8">
        <f>P4+P5+P6</f>
        <v/>
      </c>
      <c r="Q7" s="8">
        <f>Q4+Q5+Q6</f>
        <v/>
      </c>
      <c r="R7" s="8">
        <f>R4+R5+R6</f>
        <v/>
      </c>
      <c r="S7" s="8">
        <f>S4+S5+S6</f>
        <v/>
      </c>
      <c r="T7" s="8">
        <f>T4+T5+T6</f>
        <v/>
      </c>
      <c r="U7" s="8">
        <f>U4+U5+U6</f>
        <v/>
      </c>
      <c r="V7" s="8">
        <f>V4+V5+V6</f>
        <v/>
      </c>
      <c r="W7" s="8">
        <f>W4+W5+W6</f>
        <v/>
      </c>
      <c r="X7" s="8">
        <f>X4+X5+X6</f>
        <v/>
      </c>
      <c r="Y7" s="8">
        <f>Y4+Y5+Y6</f>
        <v/>
      </c>
      <c r="Z7" s="8">
        <f>Z4+Z5+Z6</f>
        <v/>
      </c>
      <c r="AA7" s="8">
        <f>AA4+AA5+AA6</f>
        <v/>
      </c>
      <c r="AB7" s="8">
        <f>AB4+AB5+AB6</f>
        <v/>
      </c>
      <c r="AC7" s="8">
        <f>AC4+AC5+AC6</f>
        <v/>
      </c>
      <c r="AD7" s="8">
        <f>AD4+AD5+AD6</f>
        <v/>
      </c>
      <c r="AE7" s="8">
        <f>AE4+AE5+AE6</f>
        <v/>
      </c>
    </row>
    <row r="8">
      <c r="A8" t="inlineStr"/>
    </row>
    <row r="9">
      <c r="A9" s="12" t="inlineStr">
        <is>
          <t>RISK TARGETS</t>
        </is>
      </c>
    </row>
    <row r="10">
      <c r="A10" s="11" t="inlineStr">
        <is>
          <t>Low Risk Target</t>
        </is>
      </c>
      <c r="B10" s="8">
        <f>LowRiskTarget</f>
        <v/>
      </c>
      <c r="C10" s="8">
        <f>LowRiskTarget</f>
        <v/>
      </c>
      <c r="D10" s="8">
        <f>LowRiskTarget</f>
        <v/>
      </c>
      <c r="E10" s="8">
        <f>LowRiskTarget</f>
        <v/>
      </c>
      <c r="F10" s="8">
        <f>LowRiskTarget</f>
        <v/>
      </c>
      <c r="G10" s="8">
        <f>LowRiskTarget</f>
        <v/>
      </c>
      <c r="H10" s="8">
        <f>LowRiskTarget</f>
        <v/>
      </c>
      <c r="I10" s="8">
        <f>LowRiskTarget</f>
        <v/>
      </c>
      <c r="J10" s="8">
        <f>LowRiskTarget</f>
        <v/>
      </c>
      <c r="K10" s="8">
        <f>LowRiskTarget</f>
        <v/>
      </c>
      <c r="L10" s="8">
        <f>LowRiskTarget</f>
        <v/>
      </c>
      <c r="M10" s="8">
        <f>LowRiskTarget</f>
        <v/>
      </c>
      <c r="N10" s="8">
        <f>LowRiskTarget</f>
        <v/>
      </c>
      <c r="O10" s="8">
        <f>LowRiskTarget</f>
        <v/>
      </c>
      <c r="P10" s="8">
        <f>LowRiskTarget</f>
        <v/>
      </c>
      <c r="Q10" s="8">
        <f>LowRiskTarget</f>
        <v/>
      </c>
      <c r="R10" s="8">
        <f>LowRiskTarget</f>
        <v/>
      </c>
      <c r="S10" s="8">
        <f>LowRiskTarget</f>
        <v/>
      </c>
      <c r="T10" s="8">
        <f>LowRiskTarget</f>
        <v/>
      </c>
      <c r="U10" s="8">
        <f>LowRiskTarget</f>
        <v/>
      </c>
      <c r="V10" s="8">
        <f>LowRiskTarget</f>
        <v/>
      </c>
      <c r="W10" s="8">
        <f>LowRiskTarget</f>
        <v/>
      </c>
      <c r="X10" s="8">
        <f>LowRiskTarget</f>
        <v/>
      </c>
      <c r="Y10" s="8">
        <f>LowRiskTarget</f>
        <v/>
      </c>
      <c r="Z10" s="8">
        <f>LowRiskTarget</f>
        <v/>
      </c>
      <c r="AA10" s="8">
        <f>LowRiskTarget</f>
        <v/>
      </c>
      <c r="AB10" s="8">
        <f>LowRiskTarget</f>
        <v/>
      </c>
      <c r="AC10" s="8">
        <f>LowRiskTarget</f>
        <v/>
      </c>
      <c r="AD10" s="8">
        <f>LowRiskTarget</f>
        <v/>
      </c>
      <c r="AE10" s="8">
        <f>LowRiskTarget</f>
        <v/>
      </c>
    </row>
    <row r="11">
      <c r="A11" s="11" t="inlineStr">
        <is>
          <t>Moderate Target</t>
        </is>
      </c>
      <c r="B11" s="8">
        <f>ModRiskTarget</f>
        <v/>
      </c>
      <c r="C11" s="8">
        <f>ModRiskTarget</f>
        <v/>
      </c>
      <c r="D11" s="8">
        <f>ModRiskTarget</f>
        <v/>
      </c>
      <c r="E11" s="8">
        <f>ModRiskTarget</f>
        <v/>
      </c>
      <c r="F11" s="8">
        <f>ModRiskTarget</f>
        <v/>
      </c>
      <c r="G11" s="8">
        <f>ModRiskTarget</f>
        <v/>
      </c>
      <c r="H11" s="8">
        <f>ModRiskTarget</f>
        <v/>
      </c>
      <c r="I11" s="8">
        <f>ModRiskTarget</f>
        <v/>
      </c>
      <c r="J11" s="8">
        <f>ModRiskTarget</f>
        <v/>
      </c>
      <c r="K11" s="8">
        <f>ModRiskTarget</f>
        <v/>
      </c>
      <c r="L11" s="8">
        <f>ModRiskTarget</f>
        <v/>
      </c>
      <c r="M11" s="8">
        <f>ModRiskTarget</f>
        <v/>
      </c>
      <c r="N11" s="8">
        <f>ModRiskTarget</f>
        <v/>
      </c>
      <c r="O11" s="8">
        <f>ModRiskTarget</f>
        <v/>
      </c>
      <c r="P11" s="8">
        <f>ModRiskTarget</f>
        <v/>
      </c>
      <c r="Q11" s="8">
        <f>ModRiskTarget</f>
        <v/>
      </c>
      <c r="R11" s="8">
        <f>ModRiskTarget</f>
        <v/>
      </c>
      <c r="S11" s="8">
        <f>ModRiskTarget</f>
        <v/>
      </c>
      <c r="T11" s="8">
        <f>ModRiskTarget</f>
        <v/>
      </c>
      <c r="U11" s="8">
        <f>ModRiskTarget</f>
        <v/>
      </c>
      <c r="V11" s="8">
        <f>ModRiskTarget</f>
        <v/>
      </c>
      <c r="W11" s="8">
        <f>ModRiskTarget</f>
        <v/>
      </c>
      <c r="X11" s="8">
        <f>ModRiskTarget</f>
        <v/>
      </c>
      <c r="Y11" s="8">
        <f>ModRiskTarget</f>
        <v/>
      </c>
      <c r="Z11" s="8">
        <f>ModRiskTarget</f>
        <v/>
      </c>
      <c r="AA11" s="8">
        <f>ModRiskTarget</f>
        <v/>
      </c>
      <c r="AB11" s="8">
        <f>ModRiskTarget</f>
        <v/>
      </c>
      <c r="AC11" s="8">
        <f>ModRiskTarget</f>
        <v/>
      </c>
      <c r="AD11" s="8">
        <f>ModRiskTarget</f>
        <v/>
      </c>
      <c r="AE11" s="8">
        <f>ModRiskTarget</f>
        <v/>
      </c>
    </row>
    <row r="12">
      <c r="A12" s="11" t="inlineStr">
        <is>
          <t>High Risk Target (remainder)</t>
        </is>
      </c>
      <c r="B12" s="8">
        <f>MAX(0,B7-B10-B11)</f>
        <v/>
      </c>
      <c r="C12" s="8">
        <f>MAX(0,C7-C10-C11)</f>
        <v/>
      </c>
      <c r="D12" s="8">
        <f>MAX(0,D7-D10-D11)</f>
        <v/>
      </c>
      <c r="E12" s="8">
        <f>MAX(0,E7-E10-E11)</f>
        <v/>
      </c>
      <c r="F12" s="8">
        <f>MAX(0,F7-F10-F11)</f>
        <v/>
      </c>
      <c r="G12" s="8">
        <f>MAX(0,G7-G10-G11)</f>
        <v/>
      </c>
      <c r="H12" s="8">
        <f>MAX(0,H7-H10-H11)</f>
        <v/>
      </c>
      <c r="I12" s="8">
        <f>MAX(0,I7-I10-I11)</f>
        <v/>
      </c>
      <c r="J12" s="8">
        <f>MAX(0,J7-J10-J11)</f>
        <v/>
      </c>
      <c r="K12" s="8">
        <f>MAX(0,K7-K10-K11)</f>
        <v/>
      </c>
      <c r="L12" s="8">
        <f>MAX(0,L7-L10-L11)</f>
        <v/>
      </c>
      <c r="M12" s="8">
        <f>MAX(0,M7-M10-M11)</f>
        <v/>
      </c>
      <c r="N12" s="8">
        <f>MAX(0,N7-N10-N11)</f>
        <v/>
      </c>
      <c r="O12" s="8">
        <f>MAX(0,O7-O10-O11)</f>
        <v/>
      </c>
      <c r="P12" s="8">
        <f>MAX(0,P7-P10-P11)</f>
        <v/>
      </c>
      <c r="Q12" s="8">
        <f>MAX(0,Q7-Q10-Q11)</f>
        <v/>
      </c>
      <c r="R12" s="8">
        <f>MAX(0,R7-R10-R11)</f>
        <v/>
      </c>
      <c r="S12" s="8">
        <f>MAX(0,S7-S10-S11)</f>
        <v/>
      </c>
      <c r="T12" s="8">
        <f>MAX(0,T7-T10-T11)</f>
        <v/>
      </c>
      <c r="U12" s="8">
        <f>MAX(0,U7-U10-U11)</f>
        <v/>
      </c>
      <c r="V12" s="8">
        <f>MAX(0,V7-V10-V11)</f>
        <v/>
      </c>
      <c r="W12" s="8">
        <f>MAX(0,W7-W10-W11)</f>
        <v/>
      </c>
      <c r="X12" s="8">
        <f>MAX(0,X7-X10-X11)</f>
        <v/>
      </c>
      <c r="Y12" s="8">
        <f>MAX(0,Y7-Y10-Y11)</f>
        <v/>
      </c>
      <c r="Z12" s="8">
        <f>MAX(0,Z7-Z10-Z11)</f>
        <v/>
      </c>
      <c r="AA12" s="8">
        <f>MAX(0,AA7-AA10-AA11)</f>
        <v/>
      </c>
      <c r="AB12" s="8">
        <f>MAX(0,AB7-AB10-AB11)</f>
        <v/>
      </c>
      <c r="AC12" s="8">
        <f>MAX(0,AC7-AC10-AC11)</f>
        <v/>
      </c>
      <c r="AD12" s="8">
        <f>MAX(0,AD7-AD10-AD11)</f>
        <v/>
      </c>
      <c r="AE12" s="8">
        <f>MAX(0,AE7-AE10-AE11)</f>
        <v/>
      </c>
    </row>
    <row r="13">
      <c r="A13" t="inlineStr"/>
    </row>
    <row r="14">
      <c r="A14" s="12" t="inlineStr">
        <is>
          <t>RECOMMENDED ALLOCATION</t>
        </is>
      </c>
    </row>
    <row r="15">
      <c r="A15" s="11" t="inlineStr">
        <is>
          <t>After-Tax: Low Risk</t>
        </is>
      </c>
      <c r="B15" s="8">
        <f>MIN(B4,B10)</f>
        <v/>
      </c>
      <c r="C15" s="8">
        <f>MIN(C4,C10)</f>
        <v/>
      </c>
      <c r="D15" s="8">
        <f>MIN(D4,D10)</f>
        <v/>
      </c>
      <c r="E15" s="8">
        <f>MIN(E4,E10)</f>
        <v/>
      </c>
      <c r="F15" s="8">
        <f>MIN(F4,F10)</f>
        <v/>
      </c>
      <c r="G15" s="8">
        <f>MIN(G4,G10)</f>
        <v/>
      </c>
      <c r="H15" s="8">
        <f>MIN(H4,H10)</f>
        <v/>
      </c>
      <c r="I15" s="8">
        <f>MIN(I4,I10)</f>
        <v/>
      </c>
      <c r="J15" s="8">
        <f>MIN(J4,J10)</f>
        <v/>
      </c>
      <c r="K15" s="8">
        <f>MIN(K4,K10)</f>
        <v/>
      </c>
      <c r="L15" s="8">
        <f>MIN(L4,L10)</f>
        <v/>
      </c>
      <c r="M15" s="8">
        <f>MIN(M4,M10)</f>
        <v/>
      </c>
      <c r="N15" s="8">
        <f>MIN(N4,N10)</f>
        <v/>
      </c>
      <c r="O15" s="8">
        <f>MIN(O4,O10)</f>
        <v/>
      </c>
      <c r="P15" s="8">
        <f>MIN(P4,P10)</f>
        <v/>
      </c>
      <c r="Q15" s="8">
        <f>MIN(Q4,Q10)</f>
        <v/>
      </c>
      <c r="R15" s="8">
        <f>MIN(R4,R10)</f>
        <v/>
      </c>
      <c r="S15" s="8">
        <f>MIN(S4,S10)</f>
        <v/>
      </c>
      <c r="T15" s="8">
        <f>MIN(T4,T10)</f>
        <v/>
      </c>
      <c r="U15" s="8">
        <f>MIN(U4,U10)</f>
        <v/>
      </c>
      <c r="V15" s="8">
        <f>MIN(V4,V10)</f>
        <v/>
      </c>
      <c r="W15" s="8">
        <f>MIN(W4,W10)</f>
        <v/>
      </c>
      <c r="X15" s="8">
        <f>MIN(X4,X10)</f>
        <v/>
      </c>
      <c r="Y15" s="8">
        <f>MIN(Y4,Y10)</f>
        <v/>
      </c>
      <c r="Z15" s="8">
        <f>MIN(Z4,Z10)</f>
        <v/>
      </c>
      <c r="AA15" s="8">
        <f>MIN(AA4,AA10)</f>
        <v/>
      </c>
      <c r="AB15" s="8">
        <f>MIN(AB4,AB10)</f>
        <v/>
      </c>
      <c r="AC15" s="8">
        <f>MIN(AC4,AC10)</f>
        <v/>
      </c>
      <c r="AD15" s="8">
        <f>MIN(AD4,AD10)</f>
        <v/>
      </c>
      <c r="AE15" s="8">
        <f>MIN(AE4,AE10)</f>
        <v/>
      </c>
    </row>
    <row r="16">
      <c r="A16" s="11" t="inlineStr">
        <is>
          <t>After-Tax: Moderate</t>
        </is>
      </c>
      <c r="B16" s="8">
        <f>MIN(B4-B15,MAX(0,B11-(B18)))</f>
        <v/>
      </c>
      <c r="C16" s="8">
        <f>MIN(C4-C15,MAX(0,C11-(C18)))</f>
        <v/>
      </c>
      <c r="D16" s="8">
        <f>MIN(D4-D15,MAX(0,D11-(D18)))</f>
        <v/>
      </c>
      <c r="E16" s="8">
        <f>MIN(E4-E15,MAX(0,E11-(E18)))</f>
        <v/>
      </c>
      <c r="F16" s="8">
        <f>MIN(F4-F15,MAX(0,F11-(F18)))</f>
        <v/>
      </c>
      <c r="G16" s="8">
        <f>MIN(G4-G15,MAX(0,G11-(G18)))</f>
        <v/>
      </c>
      <c r="H16" s="8">
        <f>MIN(H4-H15,MAX(0,H11-(H18)))</f>
        <v/>
      </c>
      <c r="I16" s="8">
        <f>MIN(I4-I15,MAX(0,I11-(I18)))</f>
        <v/>
      </c>
      <c r="J16" s="8">
        <f>MIN(J4-J15,MAX(0,J11-(J18)))</f>
        <v/>
      </c>
      <c r="K16" s="8">
        <f>MIN(K4-K15,MAX(0,K11-(K18)))</f>
        <v/>
      </c>
      <c r="L16" s="8">
        <f>MIN(L4-L15,MAX(0,L11-(L18)))</f>
        <v/>
      </c>
      <c r="M16" s="8">
        <f>MIN(M4-M15,MAX(0,M11-(M18)))</f>
        <v/>
      </c>
      <c r="N16" s="8">
        <f>MIN(N4-N15,MAX(0,N11-(N18)))</f>
        <v/>
      </c>
      <c r="O16" s="8">
        <f>MIN(O4-O15,MAX(0,O11-(O18)))</f>
        <v/>
      </c>
      <c r="P16" s="8">
        <f>MIN(P4-P15,MAX(0,P11-(P18)))</f>
        <v/>
      </c>
      <c r="Q16" s="8">
        <f>MIN(Q4-Q15,MAX(0,Q11-(Q18)))</f>
        <v/>
      </c>
      <c r="R16" s="8">
        <f>MIN(R4-R15,MAX(0,R11-(R18)))</f>
        <v/>
      </c>
      <c r="S16" s="8">
        <f>MIN(S4-S15,MAX(0,S11-(S18)))</f>
        <v/>
      </c>
      <c r="T16" s="8">
        <f>MIN(T4-T15,MAX(0,T11-(T18)))</f>
        <v/>
      </c>
      <c r="U16" s="8">
        <f>MIN(U4-U15,MAX(0,U11-(U18)))</f>
        <v/>
      </c>
      <c r="V16" s="8">
        <f>MIN(V4-V15,MAX(0,V11-(V18)))</f>
        <v/>
      </c>
      <c r="W16" s="8">
        <f>MIN(W4-W15,MAX(0,W11-(W18)))</f>
        <v/>
      </c>
      <c r="X16" s="8">
        <f>MIN(X4-X15,MAX(0,X11-(X18)))</f>
        <v/>
      </c>
      <c r="Y16" s="8">
        <f>MIN(Y4-Y15,MAX(0,Y11-(Y18)))</f>
        <v/>
      </c>
      <c r="Z16" s="8">
        <f>MIN(Z4-Z15,MAX(0,Z11-(Z18)))</f>
        <v/>
      </c>
      <c r="AA16" s="8">
        <f>MIN(AA4-AA15,MAX(0,AA11-(AA18)))</f>
        <v/>
      </c>
      <c r="AB16" s="8">
        <f>MIN(AB4-AB15,MAX(0,AB11-(AB18)))</f>
        <v/>
      </c>
      <c r="AC16" s="8">
        <f>MIN(AC4-AC15,MAX(0,AC11-(AC18)))</f>
        <v/>
      </c>
      <c r="AD16" s="8">
        <f>MIN(AD4-AD15,MAX(0,AD11-(AD18)))</f>
        <v/>
      </c>
      <c r="AE16" s="8">
        <f>MIN(AE4-AE15,MAX(0,AE11-(AE18)))</f>
        <v/>
      </c>
    </row>
    <row r="17">
      <c r="A17" s="11" t="inlineStr">
        <is>
          <t>After-Tax: High Risk</t>
        </is>
      </c>
      <c r="B17" s="8">
        <f>MAX(0,B4-B15-B16)</f>
        <v/>
      </c>
      <c r="C17" s="8">
        <f>MAX(0,C4-C15-C16)</f>
        <v/>
      </c>
      <c r="D17" s="8">
        <f>MAX(0,D4-D15-D16)</f>
        <v/>
      </c>
      <c r="E17" s="8">
        <f>MAX(0,E4-E15-E16)</f>
        <v/>
      </c>
      <c r="F17" s="8">
        <f>MAX(0,F4-F15-F16)</f>
        <v/>
      </c>
      <c r="G17" s="8">
        <f>MAX(0,G4-G15-G16)</f>
        <v/>
      </c>
      <c r="H17" s="8">
        <f>MAX(0,H4-H15-H16)</f>
        <v/>
      </c>
      <c r="I17" s="8">
        <f>MAX(0,I4-I15-I16)</f>
        <v/>
      </c>
      <c r="J17" s="8">
        <f>MAX(0,J4-J15-J16)</f>
        <v/>
      </c>
      <c r="K17" s="8">
        <f>MAX(0,K4-K15-K16)</f>
        <v/>
      </c>
      <c r="L17" s="8">
        <f>MAX(0,L4-L15-L16)</f>
        <v/>
      </c>
      <c r="M17" s="8">
        <f>MAX(0,M4-M15-M16)</f>
        <v/>
      </c>
      <c r="N17" s="8">
        <f>MAX(0,N4-N15-N16)</f>
        <v/>
      </c>
      <c r="O17" s="8">
        <f>MAX(0,O4-O15-O16)</f>
        <v/>
      </c>
      <c r="P17" s="8">
        <f>MAX(0,P4-P15-P16)</f>
        <v/>
      </c>
      <c r="Q17" s="8">
        <f>MAX(0,Q4-Q15-Q16)</f>
        <v/>
      </c>
      <c r="R17" s="8">
        <f>MAX(0,R4-R15-R16)</f>
        <v/>
      </c>
      <c r="S17" s="8">
        <f>MAX(0,S4-S15-S16)</f>
        <v/>
      </c>
      <c r="T17" s="8">
        <f>MAX(0,T4-T15-T16)</f>
        <v/>
      </c>
      <c r="U17" s="8">
        <f>MAX(0,U4-U15-U16)</f>
        <v/>
      </c>
      <c r="V17" s="8">
        <f>MAX(0,V4-V15-V16)</f>
        <v/>
      </c>
      <c r="W17" s="8">
        <f>MAX(0,W4-W15-W16)</f>
        <v/>
      </c>
      <c r="X17" s="8">
        <f>MAX(0,X4-X15-X16)</f>
        <v/>
      </c>
      <c r="Y17" s="8">
        <f>MAX(0,Y4-Y15-Y16)</f>
        <v/>
      </c>
      <c r="Z17" s="8">
        <f>MAX(0,Z4-Z15-Z16)</f>
        <v/>
      </c>
      <c r="AA17" s="8">
        <f>MAX(0,AA4-AA15-AA16)</f>
        <v/>
      </c>
      <c r="AB17" s="8">
        <f>MAX(0,AB4-AB15-AB16)</f>
        <v/>
      </c>
      <c r="AC17" s="8">
        <f>MAX(0,AC4-AC15-AC16)</f>
        <v/>
      </c>
      <c r="AD17" s="8">
        <f>MAX(0,AD4-AD15-AD16)</f>
        <v/>
      </c>
      <c r="AE17" s="8">
        <f>MAX(0,AE4-AE15-AE16)</f>
        <v/>
      </c>
    </row>
    <row r="18">
      <c r="A18" s="11" t="inlineStr">
        <is>
          <t>IRA: Low Risk</t>
        </is>
      </c>
      <c r="B18" s="8">
        <f>MIN(B5,MAX(0,B10-B15))</f>
        <v/>
      </c>
      <c r="C18" s="8">
        <f>MIN(C5,MAX(0,C10-C15))</f>
        <v/>
      </c>
      <c r="D18" s="8">
        <f>MIN(D5,MAX(0,D10-D15))</f>
        <v/>
      </c>
      <c r="E18" s="8">
        <f>MIN(E5,MAX(0,E10-E15))</f>
        <v/>
      </c>
      <c r="F18" s="8">
        <f>MIN(F5,MAX(0,F10-F15))</f>
        <v/>
      </c>
      <c r="G18" s="8">
        <f>MIN(G5,MAX(0,G10-G15))</f>
        <v/>
      </c>
      <c r="H18" s="8">
        <f>MIN(H5,MAX(0,H10-H15))</f>
        <v/>
      </c>
      <c r="I18" s="8">
        <f>MIN(I5,MAX(0,I10-I15))</f>
        <v/>
      </c>
      <c r="J18" s="8">
        <f>MIN(J5,MAX(0,J10-J15))</f>
        <v/>
      </c>
      <c r="K18" s="8">
        <f>MIN(K5,MAX(0,K10-K15))</f>
        <v/>
      </c>
      <c r="L18" s="8">
        <f>MIN(L5,MAX(0,L10-L15))</f>
        <v/>
      </c>
      <c r="M18" s="8">
        <f>MIN(M5,MAX(0,M10-M15))</f>
        <v/>
      </c>
      <c r="N18" s="8">
        <f>MIN(N5,MAX(0,N10-N15))</f>
        <v/>
      </c>
      <c r="O18" s="8">
        <f>MIN(O5,MAX(0,O10-O15))</f>
        <v/>
      </c>
      <c r="P18" s="8">
        <f>MIN(P5,MAX(0,P10-P15))</f>
        <v/>
      </c>
      <c r="Q18" s="8">
        <f>MIN(Q5,MAX(0,Q10-Q15))</f>
        <v/>
      </c>
      <c r="R18" s="8">
        <f>MIN(R5,MAX(0,R10-R15))</f>
        <v/>
      </c>
      <c r="S18" s="8">
        <f>MIN(S5,MAX(0,S10-S15))</f>
        <v/>
      </c>
      <c r="T18" s="8">
        <f>MIN(T5,MAX(0,T10-T15))</f>
        <v/>
      </c>
      <c r="U18" s="8">
        <f>MIN(U5,MAX(0,U10-U15))</f>
        <v/>
      </c>
      <c r="V18" s="8">
        <f>MIN(V5,MAX(0,V10-V15))</f>
        <v/>
      </c>
      <c r="W18" s="8">
        <f>MIN(W5,MAX(0,W10-W15))</f>
        <v/>
      </c>
      <c r="X18" s="8">
        <f>MIN(X5,MAX(0,X10-X15))</f>
        <v/>
      </c>
      <c r="Y18" s="8">
        <f>MIN(Y5,MAX(0,Y10-Y15))</f>
        <v/>
      </c>
      <c r="Z18" s="8">
        <f>MIN(Z5,MAX(0,Z10-Z15))</f>
        <v/>
      </c>
      <c r="AA18" s="8">
        <f>MIN(AA5,MAX(0,AA10-AA15))</f>
        <v/>
      </c>
      <c r="AB18" s="8">
        <f>MIN(AB5,MAX(0,AB10-AB15))</f>
        <v/>
      </c>
      <c r="AC18" s="8">
        <f>MIN(AC5,MAX(0,AC10-AC15))</f>
        <v/>
      </c>
      <c r="AD18" s="8">
        <f>MIN(AD5,MAX(0,AD10-AD15))</f>
        <v/>
      </c>
      <c r="AE18" s="8">
        <f>MIN(AE5,MAX(0,AE10-AE15))</f>
        <v/>
      </c>
    </row>
    <row r="19">
      <c r="A19" s="11" t="inlineStr">
        <is>
          <t>IRA: Moderate</t>
        </is>
      </c>
      <c r="B19" s="8">
        <f>MIN(B5-B18,B11)</f>
        <v/>
      </c>
      <c r="C19" s="8">
        <f>MIN(C5-C18,C11)</f>
        <v/>
      </c>
      <c r="D19" s="8">
        <f>MIN(D5-D18,D11)</f>
        <v/>
      </c>
      <c r="E19" s="8">
        <f>MIN(E5-E18,E11)</f>
        <v/>
      </c>
      <c r="F19" s="8">
        <f>MIN(F5-F18,F11)</f>
        <v/>
      </c>
      <c r="G19" s="8">
        <f>MIN(G5-G18,G11)</f>
        <v/>
      </c>
      <c r="H19" s="8">
        <f>MIN(H5-H18,H11)</f>
        <v/>
      </c>
      <c r="I19" s="8">
        <f>MIN(I5-I18,I11)</f>
        <v/>
      </c>
      <c r="J19" s="8">
        <f>MIN(J5-J18,J11)</f>
        <v/>
      </c>
      <c r="K19" s="8">
        <f>MIN(K5-K18,K11)</f>
        <v/>
      </c>
      <c r="L19" s="8">
        <f>MIN(L5-L18,L11)</f>
        <v/>
      </c>
      <c r="M19" s="8">
        <f>MIN(M5-M18,M11)</f>
        <v/>
      </c>
      <c r="N19" s="8">
        <f>MIN(N5-N18,N11)</f>
        <v/>
      </c>
      <c r="O19" s="8">
        <f>MIN(O5-O18,O11)</f>
        <v/>
      </c>
      <c r="P19" s="8">
        <f>MIN(P5-P18,P11)</f>
        <v/>
      </c>
      <c r="Q19" s="8">
        <f>MIN(Q5-Q18,Q11)</f>
        <v/>
      </c>
      <c r="R19" s="8">
        <f>MIN(R5-R18,R11)</f>
        <v/>
      </c>
      <c r="S19" s="8">
        <f>MIN(S5-S18,S11)</f>
        <v/>
      </c>
      <c r="T19" s="8">
        <f>MIN(T5-T18,T11)</f>
        <v/>
      </c>
      <c r="U19" s="8">
        <f>MIN(U5-U18,U11)</f>
        <v/>
      </c>
      <c r="V19" s="8">
        <f>MIN(V5-V18,V11)</f>
        <v/>
      </c>
      <c r="W19" s="8">
        <f>MIN(W5-W18,W11)</f>
        <v/>
      </c>
      <c r="X19" s="8">
        <f>MIN(X5-X18,X11)</f>
        <v/>
      </c>
      <c r="Y19" s="8">
        <f>MIN(Y5-Y18,Y11)</f>
        <v/>
      </c>
      <c r="Z19" s="8">
        <f>MIN(Z5-Z18,Z11)</f>
        <v/>
      </c>
      <c r="AA19" s="8">
        <f>MIN(AA5-AA18,AA11)</f>
        <v/>
      </c>
      <c r="AB19" s="8">
        <f>MIN(AB5-AB18,AB11)</f>
        <v/>
      </c>
      <c r="AC19" s="8">
        <f>MIN(AC5-AC18,AC11)</f>
        <v/>
      </c>
      <c r="AD19" s="8">
        <f>MIN(AD5-AD18,AD11)</f>
        <v/>
      </c>
      <c r="AE19" s="8">
        <f>MIN(AE5-AE18,AE11)</f>
        <v/>
      </c>
    </row>
    <row r="20">
      <c r="A20" s="11" t="inlineStr">
        <is>
          <t>IRA: High Risk</t>
        </is>
      </c>
      <c r="B20" s="8">
        <f>MAX(0,B5-B18-B19)</f>
        <v/>
      </c>
      <c r="C20" s="8">
        <f>MAX(0,C5-C18-C19)</f>
        <v/>
      </c>
      <c r="D20" s="8">
        <f>MAX(0,D5-D18-D19)</f>
        <v/>
      </c>
      <c r="E20" s="8">
        <f>MAX(0,E5-E18-E19)</f>
        <v/>
      </c>
      <c r="F20" s="8">
        <f>MAX(0,F5-F18-F19)</f>
        <v/>
      </c>
      <c r="G20" s="8">
        <f>MAX(0,G5-G18-G19)</f>
        <v/>
      </c>
      <c r="H20" s="8">
        <f>MAX(0,H5-H18-H19)</f>
        <v/>
      </c>
      <c r="I20" s="8">
        <f>MAX(0,I5-I18-I19)</f>
        <v/>
      </c>
      <c r="J20" s="8">
        <f>MAX(0,J5-J18-J19)</f>
        <v/>
      </c>
      <c r="K20" s="8">
        <f>MAX(0,K5-K18-K19)</f>
        <v/>
      </c>
      <c r="L20" s="8">
        <f>MAX(0,L5-L18-L19)</f>
        <v/>
      </c>
      <c r="M20" s="8">
        <f>MAX(0,M5-M18-M19)</f>
        <v/>
      </c>
      <c r="N20" s="8">
        <f>MAX(0,N5-N18-N19)</f>
        <v/>
      </c>
      <c r="O20" s="8">
        <f>MAX(0,O5-O18-O19)</f>
        <v/>
      </c>
      <c r="P20" s="8">
        <f>MAX(0,P5-P18-P19)</f>
        <v/>
      </c>
      <c r="Q20" s="8">
        <f>MAX(0,Q5-Q18-Q19)</f>
        <v/>
      </c>
      <c r="R20" s="8">
        <f>MAX(0,R5-R18-R19)</f>
        <v/>
      </c>
      <c r="S20" s="8">
        <f>MAX(0,S5-S18-S19)</f>
        <v/>
      </c>
      <c r="T20" s="8">
        <f>MAX(0,T5-T18-T19)</f>
        <v/>
      </c>
      <c r="U20" s="8">
        <f>MAX(0,U5-U18-U19)</f>
        <v/>
      </c>
      <c r="V20" s="8">
        <f>MAX(0,V5-V18-V19)</f>
        <v/>
      </c>
      <c r="W20" s="8">
        <f>MAX(0,W5-W18-W19)</f>
        <v/>
      </c>
      <c r="X20" s="8">
        <f>MAX(0,X5-X18-X19)</f>
        <v/>
      </c>
      <c r="Y20" s="8">
        <f>MAX(0,Y5-Y18-Y19)</f>
        <v/>
      </c>
      <c r="Z20" s="8">
        <f>MAX(0,Z5-Z18-Z19)</f>
        <v/>
      </c>
      <c r="AA20" s="8">
        <f>MAX(0,AA5-AA18-AA19)</f>
        <v/>
      </c>
      <c r="AB20" s="8">
        <f>MAX(0,AB5-AB18-AB19)</f>
        <v/>
      </c>
      <c r="AC20" s="8">
        <f>MAX(0,AC5-AC18-AC19)</f>
        <v/>
      </c>
      <c r="AD20" s="8">
        <f>MAX(0,AD5-AD18-AD19)</f>
        <v/>
      </c>
      <c r="AE20" s="8">
        <f>MAX(0,AE5-AE18-AE19)</f>
        <v/>
      </c>
    </row>
    <row r="21">
      <c r="A21" s="11" t="inlineStr">
        <is>
          <t>Roth: Low Risk</t>
        </is>
      </c>
      <c r="B21" s="8">
        <f>MAX(0,B6-B22-B23)</f>
        <v/>
      </c>
      <c r="C21" s="8">
        <f>MAX(0,C6-C22-C23)</f>
        <v/>
      </c>
      <c r="D21" s="8">
        <f>MAX(0,D6-D22-D23)</f>
        <v/>
      </c>
      <c r="E21" s="8">
        <f>MAX(0,E6-E22-E23)</f>
        <v/>
      </c>
      <c r="F21" s="8">
        <f>MAX(0,F6-F22-F23)</f>
        <v/>
      </c>
      <c r="G21" s="8">
        <f>MAX(0,G6-G22-G23)</f>
        <v/>
      </c>
      <c r="H21" s="8">
        <f>MAX(0,H6-H22-H23)</f>
        <v/>
      </c>
      <c r="I21" s="8">
        <f>MAX(0,I6-I22-I23)</f>
        <v/>
      </c>
      <c r="J21" s="8">
        <f>MAX(0,J6-J22-J23)</f>
        <v/>
      </c>
      <c r="K21" s="8">
        <f>MAX(0,K6-K22-K23)</f>
        <v/>
      </c>
      <c r="L21" s="8">
        <f>MAX(0,L6-L22-L23)</f>
        <v/>
      </c>
      <c r="M21" s="8">
        <f>MAX(0,M6-M22-M23)</f>
        <v/>
      </c>
      <c r="N21" s="8">
        <f>MAX(0,N6-N22-N23)</f>
        <v/>
      </c>
      <c r="O21" s="8">
        <f>MAX(0,O6-O22-O23)</f>
        <v/>
      </c>
      <c r="P21" s="8">
        <f>MAX(0,P6-P22-P23)</f>
        <v/>
      </c>
      <c r="Q21" s="8">
        <f>MAX(0,Q6-Q22-Q23)</f>
        <v/>
      </c>
      <c r="R21" s="8">
        <f>MAX(0,R6-R22-R23)</f>
        <v/>
      </c>
      <c r="S21" s="8">
        <f>MAX(0,S6-S22-S23)</f>
        <v/>
      </c>
      <c r="T21" s="8">
        <f>MAX(0,T6-T22-T23)</f>
        <v/>
      </c>
      <c r="U21" s="8">
        <f>MAX(0,U6-U22-U23)</f>
        <v/>
      </c>
      <c r="V21" s="8">
        <f>MAX(0,V6-V22-V23)</f>
        <v/>
      </c>
      <c r="W21" s="8">
        <f>MAX(0,W6-W22-W23)</f>
        <v/>
      </c>
      <c r="X21" s="8">
        <f>MAX(0,X6-X22-X23)</f>
        <v/>
      </c>
      <c r="Y21" s="8">
        <f>MAX(0,Y6-Y22-Y23)</f>
        <v/>
      </c>
      <c r="Z21" s="8">
        <f>MAX(0,Z6-Z22-Z23)</f>
        <v/>
      </c>
      <c r="AA21" s="8">
        <f>MAX(0,AA6-AA22-AA23)</f>
        <v/>
      </c>
      <c r="AB21" s="8">
        <f>MAX(0,AB6-AB22-AB23)</f>
        <v/>
      </c>
      <c r="AC21" s="8">
        <f>MAX(0,AC6-AC22-AC23)</f>
        <v/>
      </c>
      <c r="AD21" s="8">
        <f>MAX(0,AD6-AD22-AD23)</f>
        <v/>
      </c>
      <c r="AE21" s="8">
        <f>MAX(0,AE6-AE22-AE23)</f>
        <v/>
      </c>
    </row>
    <row r="22">
      <c r="A22" s="11" t="inlineStr">
        <is>
          <t>Roth: Moderate</t>
        </is>
      </c>
      <c r="B22" s="8">
        <f>MIN(B6-B23,MAX(0,B11-B19-B16))</f>
        <v/>
      </c>
      <c r="C22" s="8">
        <f>MIN(C6-C23,MAX(0,C11-C19-C16))</f>
        <v/>
      </c>
      <c r="D22" s="8">
        <f>MIN(D6-D23,MAX(0,D11-D19-D16))</f>
        <v/>
      </c>
      <c r="E22" s="8">
        <f>MIN(E6-E23,MAX(0,E11-E19-E16))</f>
        <v/>
      </c>
      <c r="F22" s="8">
        <f>MIN(F6-F23,MAX(0,F11-F19-F16))</f>
        <v/>
      </c>
      <c r="G22" s="8">
        <f>MIN(G6-G23,MAX(0,G11-G19-G16))</f>
        <v/>
      </c>
      <c r="H22" s="8">
        <f>MIN(H6-H23,MAX(0,H11-H19-H16))</f>
        <v/>
      </c>
      <c r="I22" s="8">
        <f>MIN(I6-I23,MAX(0,I11-I19-I16))</f>
        <v/>
      </c>
      <c r="J22" s="8">
        <f>MIN(J6-J23,MAX(0,J11-J19-J16))</f>
        <v/>
      </c>
      <c r="K22" s="8">
        <f>MIN(K6-K23,MAX(0,K11-K19-K16))</f>
        <v/>
      </c>
      <c r="L22" s="8">
        <f>MIN(L6-L23,MAX(0,L11-L19-L16))</f>
        <v/>
      </c>
      <c r="M22" s="8">
        <f>MIN(M6-M23,MAX(0,M11-M19-M16))</f>
        <v/>
      </c>
      <c r="N22" s="8">
        <f>MIN(N6-N23,MAX(0,N11-N19-N16))</f>
        <v/>
      </c>
      <c r="O22" s="8">
        <f>MIN(O6-O23,MAX(0,O11-O19-O16))</f>
        <v/>
      </c>
      <c r="P22" s="8">
        <f>MIN(P6-P23,MAX(0,P11-P19-P16))</f>
        <v/>
      </c>
      <c r="Q22" s="8">
        <f>MIN(Q6-Q23,MAX(0,Q11-Q19-Q16))</f>
        <v/>
      </c>
      <c r="R22" s="8">
        <f>MIN(R6-R23,MAX(0,R11-R19-R16))</f>
        <v/>
      </c>
      <c r="S22" s="8">
        <f>MIN(S6-S23,MAX(0,S11-S19-S16))</f>
        <v/>
      </c>
      <c r="T22" s="8">
        <f>MIN(T6-T23,MAX(0,T11-T19-T16))</f>
        <v/>
      </c>
      <c r="U22" s="8">
        <f>MIN(U6-U23,MAX(0,U11-U19-U16))</f>
        <v/>
      </c>
      <c r="V22" s="8">
        <f>MIN(V6-V23,MAX(0,V11-V19-V16))</f>
        <v/>
      </c>
      <c r="W22" s="8">
        <f>MIN(W6-W23,MAX(0,W11-W19-W16))</f>
        <v/>
      </c>
      <c r="X22" s="8">
        <f>MIN(X6-X23,MAX(0,X11-X19-X16))</f>
        <v/>
      </c>
      <c r="Y22" s="8">
        <f>MIN(Y6-Y23,MAX(0,Y11-Y19-Y16))</f>
        <v/>
      </c>
      <c r="Z22" s="8">
        <f>MIN(Z6-Z23,MAX(0,Z11-Z19-Z16))</f>
        <v/>
      </c>
      <c r="AA22" s="8">
        <f>MIN(AA6-AA23,MAX(0,AA11-AA19-AA16))</f>
        <v/>
      </c>
      <c r="AB22" s="8">
        <f>MIN(AB6-AB23,MAX(0,AB11-AB19-AB16))</f>
        <v/>
      </c>
      <c r="AC22" s="8">
        <f>MIN(AC6-AC23,MAX(0,AC11-AC19-AC16))</f>
        <v/>
      </c>
      <c r="AD22" s="8">
        <f>MIN(AD6-AD23,MAX(0,AD11-AD19-AD16))</f>
        <v/>
      </c>
      <c r="AE22" s="8">
        <f>MIN(AE6-AE23,MAX(0,AE11-AE19-AE16))</f>
        <v/>
      </c>
    </row>
    <row r="23">
      <c r="A23" s="11" t="inlineStr">
        <is>
          <t>Roth: High Risk</t>
        </is>
      </c>
      <c r="B23" s="8">
        <f>MIN(B6,B12)</f>
        <v/>
      </c>
      <c r="C23" s="8">
        <f>MIN(C6,C12)</f>
        <v/>
      </c>
      <c r="D23" s="8">
        <f>MIN(D6,D12)</f>
        <v/>
      </c>
      <c r="E23" s="8">
        <f>MIN(E6,E12)</f>
        <v/>
      </c>
      <c r="F23" s="8">
        <f>MIN(F6,F12)</f>
        <v/>
      </c>
      <c r="G23" s="8">
        <f>MIN(G6,G12)</f>
        <v/>
      </c>
      <c r="H23" s="8">
        <f>MIN(H6,H12)</f>
        <v/>
      </c>
      <c r="I23" s="8">
        <f>MIN(I6,I12)</f>
        <v/>
      </c>
      <c r="J23" s="8">
        <f>MIN(J6,J12)</f>
        <v/>
      </c>
      <c r="K23" s="8">
        <f>MIN(K6,K12)</f>
        <v/>
      </c>
      <c r="L23" s="8">
        <f>MIN(L6,L12)</f>
        <v/>
      </c>
      <c r="M23" s="8">
        <f>MIN(M6,M12)</f>
        <v/>
      </c>
      <c r="N23" s="8">
        <f>MIN(N6,N12)</f>
        <v/>
      </c>
      <c r="O23" s="8">
        <f>MIN(O6,O12)</f>
        <v/>
      </c>
      <c r="P23" s="8">
        <f>MIN(P6,P12)</f>
        <v/>
      </c>
      <c r="Q23" s="8">
        <f>MIN(Q6,Q12)</f>
        <v/>
      </c>
      <c r="R23" s="8">
        <f>MIN(R6,R12)</f>
        <v/>
      </c>
      <c r="S23" s="8">
        <f>MIN(S6,S12)</f>
        <v/>
      </c>
      <c r="T23" s="8">
        <f>MIN(T6,T12)</f>
        <v/>
      </c>
      <c r="U23" s="8">
        <f>MIN(U6,U12)</f>
        <v/>
      </c>
      <c r="V23" s="8">
        <f>MIN(V6,V12)</f>
        <v/>
      </c>
      <c r="W23" s="8">
        <f>MIN(W6,W12)</f>
        <v/>
      </c>
      <c r="X23" s="8">
        <f>MIN(X6,X12)</f>
        <v/>
      </c>
      <c r="Y23" s="8">
        <f>MIN(Y6,Y12)</f>
        <v/>
      </c>
      <c r="Z23" s="8">
        <f>MIN(Z6,Z12)</f>
        <v/>
      </c>
      <c r="AA23" s="8">
        <f>MIN(AA6,AA12)</f>
        <v/>
      </c>
      <c r="AB23" s="8">
        <f>MIN(AB6,AB12)</f>
        <v/>
      </c>
      <c r="AC23" s="8">
        <f>MIN(AC6,AC12)</f>
        <v/>
      </c>
      <c r="AD23" s="8">
        <f>MIN(AD6,AD12)</f>
        <v/>
      </c>
      <c r="AE23" s="8">
        <f>MIN(AE6,AE12)</f>
        <v/>
      </c>
    </row>
    <row r="24">
      <c r="A24" t="inlineStr"/>
    </row>
    <row r="25">
      <c r="A25" s="12" t="inlineStr">
        <is>
          <t>BLENDED RETURNS</t>
        </is>
      </c>
    </row>
    <row r="26">
      <c r="A26" s="11" t="inlineStr">
        <is>
          <t>After-Tax Blended Return</t>
        </is>
      </c>
      <c r="B26" s="7">
        <f>IF(B4&gt;0,(B15*LowRiskReturn+B16*ModRiskReturn+B17*HighRiskReturn)/B4,0)</f>
        <v/>
      </c>
      <c r="C26" s="7">
        <f>IF(C4&gt;0,(C15*LowRiskReturn+C16*ModRiskReturn+C17*HighRiskReturn)/C4,0)</f>
        <v/>
      </c>
      <c r="D26" s="7">
        <f>IF(D4&gt;0,(D15*LowRiskReturn+D16*ModRiskReturn+D17*HighRiskReturn)/D4,0)</f>
        <v/>
      </c>
      <c r="E26" s="7">
        <f>IF(E4&gt;0,(E15*LowRiskReturn+E16*ModRiskReturn+E17*HighRiskReturn)/E4,0)</f>
        <v/>
      </c>
      <c r="F26" s="7">
        <f>IF(F4&gt;0,(F15*LowRiskReturn+F16*ModRiskReturn+F17*HighRiskReturn)/F4,0)</f>
        <v/>
      </c>
      <c r="G26" s="7">
        <f>IF(G4&gt;0,(G15*LowRiskReturn+G16*ModRiskReturn+G17*HighRiskReturn)/G4,0)</f>
        <v/>
      </c>
      <c r="H26" s="7">
        <f>IF(H4&gt;0,(H15*LowRiskReturn+H16*ModRiskReturn+H17*HighRiskReturn)/H4,0)</f>
        <v/>
      </c>
      <c r="I26" s="7">
        <f>IF(I4&gt;0,(I15*LowRiskReturn+I16*ModRiskReturn+I17*HighRiskReturn)/I4,0)</f>
        <v/>
      </c>
      <c r="J26" s="7">
        <f>IF(J4&gt;0,(J15*LowRiskReturn+J16*ModRiskReturn+J17*HighRiskReturn)/J4,0)</f>
        <v/>
      </c>
      <c r="K26" s="7">
        <f>IF(K4&gt;0,(K15*LowRiskReturn+K16*ModRiskReturn+K17*HighRiskReturn)/K4,0)</f>
        <v/>
      </c>
      <c r="L26" s="7">
        <f>IF(L4&gt;0,(L15*LowRiskReturn+L16*ModRiskReturn+L17*HighRiskReturn)/L4,0)</f>
        <v/>
      </c>
      <c r="M26" s="7">
        <f>IF(M4&gt;0,(M15*LowRiskReturn+M16*ModRiskReturn+M17*HighRiskReturn)/M4,0)</f>
        <v/>
      </c>
      <c r="N26" s="7">
        <f>IF(N4&gt;0,(N15*LowRiskReturn+N16*ModRiskReturn+N17*HighRiskReturn)/N4,0)</f>
        <v/>
      </c>
      <c r="O26" s="7">
        <f>IF(O4&gt;0,(O15*LowRiskReturn+O16*ModRiskReturn+O17*HighRiskReturn)/O4,0)</f>
        <v/>
      </c>
      <c r="P26" s="7">
        <f>IF(P4&gt;0,(P15*LowRiskReturn+P16*ModRiskReturn+P17*HighRiskReturn)/P4,0)</f>
        <v/>
      </c>
      <c r="Q26" s="7">
        <f>IF(Q4&gt;0,(Q15*LowRiskReturn+Q16*ModRiskReturn+Q17*HighRiskReturn)/Q4,0)</f>
        <v/>
      </c>
      <c r="R26" s="7">
        <f>IF(R4&gt;0,(R15*LowRiskReturn+R16*ModRiskReturn+R17*HighRiskReturn)/R4,0)</f>
        <v/>
      </c>
      <c r="S26" s="7">
        <f>IF(S4&gt;0,(S15*LowRiskReturn+S16*ModRiskReturn+S17*HighRiskReturn)/S4,0)</f>
        <v/>
      </c>
      <c r="T26" s="7">
        <f>IF(T4&gt;0,(T15*LowRiskReturn+T16*ModRiskReturn+T17*HighRiskReturn)/T4,0)</f>
        <v/>
      </c>
      <c r="U26" s="7">
        <f>IF(U4&gt;0,(U15*LowRiskReturn+U16*ModRiskReturn+U17*HighRiskReturn)/U4,0)</f>
        <v/>
      </c>
      <c r="V26" s="7">
        <f>IF(V4&gt;0,(V15*LowRiskReturn+V16*ModRiskReturn+V17*HighRiskReturn)/V4,0)</f>
        <v/>
      </c>
      <c r="W26" s="7">
        <f>IF(W4&gt;0,(W15*LowRiskReturn+W16*ModRiskReturn+W17*HighRiskReturn)/W4,0)</f>
        <v/>
      </c>
      <c r="X26" s="7">
        <f>IF(X4&gt;0,(X15*LowRiskReturn+X16*ModRiskReturn+X17*HighRiskReturn)/X4,0)</f>
        <v/>
      </c>
      <c r="Y26" s="7">
        <f>IF(Y4&gt;0,(Y15*LowRiskReturn+Y16*ModRiskReturn+Y17*HighRiskReturn)/Y4,0)</f>
        <v/>
      </c>
      <c r="Z26" s="7">
        <f>IF(Z4&gt;0,(Z15*LowRiskReturn+Z16*ModRiskReturn+Z17*HighRiskReturn)/Z4,0)</f>
        <v/>
      </c>
      <c r="AA26" s="7">
        <f>IF(AA4&gt;0,(AA15*LowRiskReturn+AA16*ModRiskReturn+AA17*HighRiskReturn)/AA4,0)</f>
        <v/>
      </c>
      <c r="AB26" s="7">
        <f>IF(AB4&gt;0,(AB15*LowRiskReturn+AB16*ModRiskReturn+AB17*HighRiskReturn)/AB4,0)</f>
        <v/>
      </c>
      <c r="AC26" s="7">
        <f>IF(AC4&gt;0,(AC15*LowRiskReturn+AC16*ModRiskReturn+AC17*HighRiskReturn)/AC4,0)</f>
        <v/>
      </c>
      <c r="AD26" s="7">
        <f>IF(AD4&gt;0,(AD15*LowRiskReturn+AD16*ModRiskReturn+AD17*HighRiskReturn)/AD4,0)</f>
        <v/>
      </c>
      <c r="AE26" s="7">
        <f>IF(AE4&gt;0,(AE15*LowRiskReturn+AE16*ModRiskReturn+AE17*HighRiskReturn)/AE4,0)</f>
        <v/>
      </c>
    </row>
    <row r="27">
      <c r="A27" s="11" t="inlineStr">
        <is>
          <t>IRA Blended Return</t>
        </is>
      </c>
      <c r="B27" s="7">
        <f>IF(B5&gt;0,(B18*LowRiskReturn+B19*ModRiskReturn+B20*HighRiskReturn)/B5,0)</f>
        <v/>
      </c>
      <c r="C27" s="7">
        <f>IF(C5&gt;0,(C18*LowRiskReturn+C19*ModRiskReturn+C20*HighRiskReturn)/C5,0)</f>
        <v/>
      </c>
      <c r="D27" s="7">
        <f>IF(D5&gt;0,(D18*LowRiskReturn+D19*ModRiskReturn+D20*HighRiskReturn)/D5,0)</f>
        <v/>
      </c>
      <c r="E27" s="7">
        <f>IF(E5&gt;0,(E18*LowRiskReturn+E19*ModRiskReturn+E20*HighRiskReturn)/E5,0)</f>
        <v/>
      </c>
      <c r="F27" s="7">
        <f>IF(F5&gt;0,(F18*LowRiskReturn+F19*ModRiskReturn+F20*HighRiskReturn)/F5,0)</f>
        <v/>
      </c>
      <c r="G27" s="7">
        <f>IF(G5&gt;0,(G18*LowRiskReturn+G19*ModRiskReturn+G20*HighRiskReturn)/G5,0)</f>
        <v/>
      </c>
      <c r="H27" s="7">
        <f>IF(H5&gt;0,(H18*LowRiskReturn+H19*ModRiskReturn+H20*HighRiskReturn)/H5,0)</f>
        <v/>
      </c>
      <c r="I27" s="7">
        <f>IF(I5&gt;0,(I18*LowRiskReturn+I19*ModRiskReturn+I20*HighRiskReturn)/I5,0)</f>
        <v/>
      </c>
      <c r="J27" s="7">
        <f>IF(J5&gt;0,(J18*LowRiskReturn+J19*ModRiskReturn+J20*HighRiskReturn)/J5,0)</f>
        <v/>
      </c>
      <c r="K27" s="7">
        <f>IF(K5&gt;0,(K18*LowRiskReturn+K19*ModRiskReturn+K20*HighRiskReturn)/K5,0)</f>
        <v/>
      </c>
      <c r="L27" s="7">
        <f>IF(L5&gt;0,(L18*LowRiskReturn+L19*ModRiskReturn+L20*HighRiskReturn)/L5,0)</f>
        <v/>
      </c>
      <c r="M27" s="7">
        <f>IF(M5&gt;0,(M18*LowRiskReturn+M19*ModRiskReturn+M20*HighRiskReturn)/M5,0)</f>
        <v/>
      </c>
      <c r="N27" s="7">
        <f>IF(N5&gt;0,(N18*LowRiskReturn+N19*ModRiskReturn+N20*HighRiskReturn)/N5,0)</f>
        <v/>
      </c>
      <c r="O27" s="7">
        <f>IF(O5&gt;0,(O18*LowRiskReturn+O19*ModRiskReturn+O20*HighRiskReturn)/O5,0)</f>
        <v/>
      </c>
      <c r="P27" s="7">
        <f>IF(P5&gt;0,(P18*LowRiskReturn+P19*ModRiskReturn+P20*HighRiskReturn)/P5,0)</f>
        <v/>
      </c>
      <c r="Q27" s="7">
        <f>IF(Q5&gt;0,(Q18*LowRiskReturn+Q19*ModRiskReturn+Q20*HighRiskReturn)/Q5,0)</f>
        <v/>
      </c>
      <c r="R27" s="7">
        <f>IF(R5&gt;0,(R18*LowRiskReturn+R19*ModRiskReturn+R20*HighRiskReturn)/R5,0)</f>
        <v/>
      </c>
      <c r="S27" s="7">
        <f>IF(S5&gt;0,(S18*LowRiskReturn+S19*ModRiskReturn+S20*HighRiskReturn)/S5,0)</f>
        <v/>
      </c>
      <c r="T27" s="7">
        <f>IF(T5&gt;0,(T18*LowRiskReturn+T19*ModRiskReturn+T20*HighRiskReturn)/T5,0)</f>
        <v/>
      </c>
      <c r="U27" s="7">
        <f>IF(U5&gt;0,(U18*LowRiskReturn+U19*ModRiskReturn+U20*HighRiskReturn)/U5,0)</f>
        <v/>
      </c>
      <c r="V27" s="7">
        <f>IF(V5&gt;0,(V18*LowRiskReturn+V19*ModRiskReturn+V20*HighRiskReturn)/V5,0)</f>
        <v/>
      </c>
      <c r="W27" s="7">
        <f>IF(W5&gt;0,(W18*LowRiskReturn+W19*ModRiskReturn+W20*HighRiskReturn)/W5,0)</f>
        <v/>
      </c>
      <c r="X27" s="7">
        <f>IF(X5&gt;0,(X18*LowRiskReturn+X19*ModRiskReturn+X20*HighRiskReturn)/X5,0)</f>
        <v/>
      </c>
      <c r="Y27" s="7">
        <f>IF(Y5&gt;0,(Y18*LowRiskReturn+Y19*ModRiskReturn+Y20*HighRiskReturn)/Y5,0)</f>
        <v/>
      </c>
      <c r="Z27" s="7">
        <f>IF(Z5&gt;0,(Z18*LowRiskReturn+Z19*ModRiskReturn+Z20*HighRiskReturn)/Z5,0)</f>
        <v/>
      </c>
      <c r="AA27" s="7">
        <f>IF(AA5&gt;0,(AA18*LowRiskReturn+AA19*ModRiskReturn+AA20*HighRiskReturn)/AA5,0)</f>
        <v/>
      </c>
      <c r="AB27" s="7">
        <f>IF(AB5&gt;0,(AB18*LowRiskReturn+AB19*ModRiskReturn+AB20*HighRiskReturn)/AB5,0)</f>
        <v/>
      </c>
      <c r="AC27" s="7">
        <f>IF(AC5&gt;0,(AC18*LowRiskReturn+AC19*ModRiskReturn+AC20*HighRiskReturn)/AC5,0)</f>
        <v/>
      </c>
      <c r="AD27" s="7">
        <f>IF(AD5&gt;0,(AD18*LowRiskReturn+AD19*ModRiskReturn+AD20*HighRiskReturn)/AD5,0)</f>
        <v/>
      </c>
      <c r="AE27" s="7">
        <f>IF(AE5&gt;0,(AE18*LowRiskReturn+AE19*ModRiskReturn+AE20*HighRiskReturn)/AE5,0)</f>
        <v/>
      </c>
    </row>
    <row r="28">
      <c r="A28" s="11" t="inlineStr">
        <is>
          <t>Roth Blended Return</t>
        </is>
      </c>
      <c r="B28" s="7">
        <f>IF(B6&gt;0,(B21*LowRiskReturn+B22*ModRiskReturn+B23*HighRiskReturn)/B6,0)</f>
        <v/>
      </c>
      <c r="C28" s="7">
        <f>IF(C6&gt;0,(C21*LowRiskReturn+C22*ModRiskReturn+C23*HighRiskReturn)/C6,0)</f>
        <v/>
      </c>
      <c r="D28" s="7">
        <f>IF(D6&gt;0,(D21*LowRiskReturn+D22*ModRiskReturn+D23*HighRiskReturn)/D6,0)</f>
        <v/>
      </c>
      <c r="E28" s="7">
        <f>IF(E6&gt;0,(E21*LowRiskReturn+E22*ModRiskReturn+E23*HighRiskReturn)/E6,0)</f>
        <v/>
      </c>
      <c r="F28" s="7">
        <f>IF(F6&gt;0,(F21*LowRiskReturn+F22*ModRiskReturn+F23*HighRiskReturn)/F6,0)</f>
        <v/>
      </c>
      <c r="G28" s="7">
        <f>IF(G6&gt;0,(G21*LowRiskReturn+G22*ModRiskReturn+G23*HighRiskReturn)/G6,0)</f>
        <v/>
      </c>
      <c r="H28" s="7">
        <f>IF(H6&gt;0,(H21*LowRiskReturn+H22*ModRiskReturn+H23*HighRiskReturn)/H6,0)</f>
        <v/>
      </c>
      <c r="I28" s="7">
        <f>IF(I6&gt;0,(I21*LowRiskReturn+I22*ModRiskReturn+I23*HighRiskReturn)/I6,0)</f>
        <v/>
      </c>
      <c r="J28" s="7">
        <f>IF(J6&gt;0,(J21*LowRiskReturn+J22*ModRiskReturn+J23*HighRiskReturn)/J6,0)</f>
        <v/>
      </c>
      <c r="K28" s="7">
        <f>IF(K6&gt;0,(K21*LowRiskReturn+K22*ModRiskReturn+K23*HighRiskReturn)/K6,0)</f>
        <v/>
      </c>
      <c r="L28" s="7">
        <f>IF(L6&gt;0,(L21*LowRiskReturn+L22*ModRiskReturn+L23*HighRiskReturn)/L6,0)</f>
        <v/>
      </c>
      <c r="M28" s="7">
        <f>IF(M6&gt;0,(M21*LowRiskReturn+M22*ModRiskReturn+M23*HighRiskReturn)/M6,0)</f>
        <v/>
      </c>
      <c r="N28" s="7">
        <f>IF(N6&gt;0,(N21*LowRiskReturn+N22*ModRiskReturn+N23*HighRiskReturn)/N6,0)</f>
        <v/>
      </c>
      <c r="O28" s="7">
        <f>IF(O6&gt;0,(O21*LowRiskReturn+O22*ModRiskReturn+O23*HighRiskReturn)/O6,0)</f>
        <v/>
      </c>
      <c r="P28" s="7">
        <f>IF(P6&gt;0,(P21*LowRiskReturn+P22*ModRiskReturn+P23*HighRiskReturn)/P6,0)</f>
        <v/>
      </c>
      <c r="Q28" s="7">
        <f>IF(Q6&gt;0,(Q21*LowRiskReturn+Q22*ModRiskReturn+Q23*HighRiskReturn)/Q6,0)</f>
        <v/>
      </c>
      <c r="R28" s="7">
        <f>IF(R6&gt;0,(R21*LowRiskReturn+R22*ModRiskReturn+R23*HighRiskReturn)/R6,0)</f>
        <v/>
      </c>
      <c r="S28" s="7">
        <f>IF(S6&gt;0,(S21*LowRiskReturn+S22*ModRiskReturn+S23*HighRiskReturn)/S6,0)</f>
        <v/>
      </c>
      <c r="T28" s="7">
        <f>IF(T6&gt;0,(T21*LowRiskReturn+T22*ModRiskReturn+T23*HighRiskReturn)/T6,0)</f>
        <v/>
      </c>
      <c r="U28" s="7">
        <f>IF(U6&gt;0,(U21*LowRiskReturn+U22*ModRiskReturn+U23*HighRiskReturn)/U6,0)</f>
        <v/>
      </c>
      <c r="V28" s="7">
        <f>IF(V6&gt;0,(V21*LowRiskReturn+V22*ModRiskReturn+V23*HighRiskReturn)/V6,0)</f>
        <v/>
      </c>
      <c r="W28" s="7">
        <f>IF(W6&gt;0,(W21*LowRiskReturn+W22*ModRiskReturn+W23*HighRiskReturn)/W6,0)</f>
        <v/>
      </c>
      <c r="X28" s="7">
        <f>IF(X6&gt;0,(X21*LowRiskReturn+X22*ModRiskReturn+X23*HighRiskReturn)/X6,0)</f>
        <v/>
      </c>
      <c r="Y28" s="7">
        <f>IF(Y6&gt;0,(Y21*LowRiskReturn+Y22*ModRiskReturn+Y23*HighRiskReturn)/Y6,0)</f>
        <v/>
      </c>
      <c r="Z28" s="7">
        <f>IF(Z6&gt;0,(Z21*LowRiskReturn+Z22*ModRiskReturn+Z23*HighRiskReturn)/Z6,0)</f>
        <v/>
      </c>
      <c r="AA28" s="7">
        <f>IF(AA6&gt;0,(AA21*LowRiskReturn+AA22*ModRiskReturn+AA23*HighRiskReturn)/AA6,0)</f>
        <v/>
      </c>
      <c r="AB28" s="7">
        <f>IF(AB6&gt;0,(AB21*LowRiskReturn+AB22*ModRiskReturn+AB23*HighRiskReturn)/AB6,0)</f>
        <v/>
      </c>
      <c r="AC28" s="7">
        <f>IF(AC6&gt;0,(AC21*LowRiskReturn+AC22*ModRiskReturn+AC23*HighRiskReturn)/AC6,0)</f>
        <v/>
      </c>
      <c r="AD28" s="7">
        <f>IF(AD6&gt;0,(AD21*LowRiskReturn+AD22*ModRiskReturn+AD23*HighRiskReturn)/AD6,0)</f>
        <v/>
      </c>
      <c r="AE28" s="7">
        <f>IF(AE6&gt;0,(AE21*LowRiskReturn+AE22*ModRiskReturn+AE23*HighRiskReturn)/AE6,0)</f>
        <v/>
      </c>
    </row>
    <row r="29">
      <c r="A29" t="inlineStr"/>
    </row>
    <row r="30">
      <c r="A30" s="12" t="inlineStr">
        <is>
          <t>MODEL ASSUMPTIONS (for comparison)</t>
        </is>
      </c>
    </row>
    <row r="31">
      <c r="A31" s="11" t="inlineStr">
        <is>
          <t>After-Tax Return (current)</t>
        </is>
      </c>
      <c r="B31" s="7">
        <f>ReturnAfterTax</f>
        <v/>
      </c>
      <c r="C31" s="7">
        <f>ReturnAfterTax</f>
        <v/>
      </c>
      <c r="D31" s="7">
        <f>ReturnAfterTax</f>
        <v/>
      </c>
      <c r="E31" s="7">
        <f>ReturnAfterTax</f>
        <v/>
      </c>
      <c r="F31" s="7">
        <f>ReturnAfterTax</f>
        <v/>
      </c>
      <c r="G31" s="7">
        <f>ReturnAfterTax</f>
        <v/>
      </c>
      <c r="H31" s="7">
        <f>ReturnAfterTax</f>
        <v/>
      </c>
      <c r="I31" s="7">
        <f>ReturnAfterTax</f>
        <v/>
      </c>
      <c r="J31" s="7">
        <f>ReturnAfterTax</f>
        <v/>
      </c>
      <c r="K31" s="7">
        <f>ReturnAfterTax</f>
        <v/>
      </c>
      <c r="L31" s="7">
        <f>ReturnAfterTax</f>
        <v/>
      </c>
      <c r="M31" s="7">
        <f>ReturnAfterTax</f>
        <v/>
      </c>
      <c r="N31" s="7">
        <f>ReturnAfterTax</f>
        <v/>
      </c>
      <c r="O31" s="7">
        <f>ReturnAfterTax</f>
        <v/>
      </c>
      <c r="P31" s="7">
        <f>ReturnAfterTax</f>
        <v/>
      </c>
      <c r="Q31" s="7">
        <f>ReturnAfterTax</f>
        <v/>
      </c>
      <c r="R31" s="7">
        <f>ReturnAfterTax</f>
        <v/>
      </c>
      <c r="S31" s="7">
        <f>ReturnAfterTax</f>
        <v/>
      </c>
      <c r="T31" s="7">
        <f>ReturnAfterTax</f>
        <v/>
      </c>
      <c r="U31" s="7">
        <f>ReturnAfterTax</f>
        <v/>
      </c>
      <c r="V31" s="7">
        <f>ReturnAfterTax</f>
        <v/>
      </c>
      <c r="W31" s="7">
        <f>ReturnAfterTax</f>
        <v/>
      </c>
      <c r="X31" s="7">
        <f>ReturnAfterTax</f>
        <v/>
      </c>
      <c r="Y31" s="7">
        <f>ReturnAfterTax</f>
        <v/>
      </c>
      <c r="Z31" s="7">
        <f>ReturnAfterTax</f>
        <v/>
      </c>
      <c r="AA31" s="7">
        <f>ReturnAfterTax</f>
        <v/>
      </c>
      <c r="AB31" s="7">
        <f>ReturnAfterTax</f>
        <v/>
      </c>
      <c r="AC31" s="7">
        <f>ReturnAfterTax</f>
        <v/>
      </c>
      <c r="AD31" s="7">
        <f>ReturnAfterTax</f>
        <v/>
      </c>
      <c r="AE31" s="7">
        <f>ReturnAfterTax</f>
        <v/>
      </c>
    </row>
    <row r="32">
      <c r="A32" s="11" t="inlineStr">
        <is>
          <t>IRA Return (current)</t>
        </is>
      </c>
      <c r="B32" s="7">
        <f>ReturnIRA</f>
        <v/>
      </c>
      <c r="C32" s="7">
        <f>ReturnIRA</f>
        <v/>
      </c>
      <c r="D32" s="7">
        <f>ReturnIRA</f>
        <v/>
      </c>
      <c r="E32" s="7">
        <f>ReturnIRA</f>
        <v/>
      </c>
      <c r="F32" s="7">
        <f>ReturnIRA</f>
        <v/>
      </c>
      <c r="G32" s="7">
        <f>ReturnIRA</f>
        <v/>
      </c>
      <c r="H32" s="7">
        <f>ReturnIRA</f>
        <v/>
      </c>
      <c r="I32" s="7">
        <f>ReturnIRA</f>
        <v/>
      </c>
      <c r="J32" s="7">
        <f>ReturnIRA</f>
        <v/>
      </c>
      <c r="K32" s="7">
        <f>ReturnIRA</f>
        <v/>
      </c>
      <c r="L32" s="7">
        <f>ReturnIRA</f>
        <v/>
      </c>
      <c r="M32" s="7">
        <f>ReturnIRA</f>
        <v/>
      </c>
      <c r="N32" s="7">
        <f>ReturnIRA</f>
        <v/>
      </c>
      <c r="O32" s="7">
        <f>ReturnIRA</f>
        <v/>
      </c>
      <c r="P32" s="7">
        <f>ReturnIRA</f>
        <v/>
      </c>
      <c r="Q32" s="7">
        <f>ReturnIRA</f>
        <v/>
      </c>
      <c r="R32" s="7">
        <f>ReturnIRA</f>
        <v/>
      </c>
      <c r="S32" s="7">
        <f>ReturnIRA</f>
        <v/>
      </c>
      <c r="T32" s="7">
        <f>ReturnIRA</f>
        <v/>
      </c>
      <c r="U32" s="7">
        <f>ReturnIRA</f>
        <v/>
      </c>
      <c r="V32" s="7">
        <f>ReturnIRA</f>
        <v/>
      </c>
      <c r="W32" s="7">
        <f>ReturnIRA</f>
        <v/>
      </c>
      <c r="X32" s="7">
        <f>ReturnIRA</f>
        <v/>
      </c>
      <c r="Y32" s="7">
        <f>ReturnIRA</f>
        <v/>
      </c>
      <c r="Z32" s="7">
        <f>ReturnIRA</f>
        <v/>
      </c>
      <c r="AA32" s="7">
        <f>ReturnIRA</f>
        <v/>
      </c>
      <c r="AB32" s="7">
        <f>ReturnIRA</f>
        <v/>
      </c>
      <c r="AC32" s="7">
        <f>ReturnIRA</f>
        <v/>
      </c>
      <c r="AD32" s="7">
        <f>ReturnIRA</f>
        <v/>
      </c>
      <c r="AE32" s="7">
        <f>ReturnIRA</f>
        <v/>
      </c>
    </row>
    <row r="33">
      <c r="A33" s="11" t="inlineStr">
        <is>
          <t>Roth Return (current)</t>
        </is>
      </c>
      <c r="B33" s="7">
        <f>ReturnRoth</f>
        <v/>
      </c>
      <c r="C33" s="7">
        <f>ReturnRoth</f>
        <v/>
      </c>
      <c r="D33" s="7">
        <f>ReturnRoth</f>
        <v/>
      </c>
      <c r="E33" s="7">
        <f>ReturnRoth</f>
        <v/>
      </c>
      <c r="F33" s="7">
        <f>ReturnRoth</f>
        <v/>
      </c>
      <c r="G33" s="7">
        <f>ReturnRoth</f>
        <v/>
      </c>
      <c r="H33" s="7">
        <f>ReturnRoth</f>
        <v/>
      </c>
      <c r="I33" s="7">
        <f>ReturnRoth</f>
        <v/>
      </c>
      <c r="J33" s="7">
        <f>ReturnRoth</f>
        <v/>
      </c>
      <c r="K33" s="7">
        <f>ReturnRoth</f>
        <v/>
      </c>
      <c r="L33" s="7">
        <f>ReturnRoth</f>
        <v/>
      </c>
      <c r="M33" s="7">
        <f>ReturnRoth</f>
        <v/>
      </c>
      <c r="N33" s="7">
        <f>ReturnRoth</f>
        <v/>
      </c>
      <c r="O33" s="7">
        <f>ReturnRoth</f>
        <v/>
      </c>
      <c r="P33" s="7">
        <f>ReturnRoth</f>
        <v/>
      </c>
      <c r="Q33" s="7">
        <f>ReturnRoth</f>
        <v/>
      </c>
      <c r="R33" s="7">
        <f>ReturnRoth</f>
        <v/>
      </c>
      <c r="S33" s="7">
        <f>ReturnRoth</f>
        <v/>
      </c>
      <c r="T33" s="7">
        <f>ReturnRoth</f>
        <v/>
      </c>
      <c r="U33" s="7">
        <f>ReturnRoth</f>
        <v/>
      </c>
      <c r="V33" s="7">
        <f>ReturnRoth</f>
        <v/>
      </c>
      <c r="W33" s="7">
        <f>ReturnRoth</f>
        <v/>
      </c>
      <c r="X33" s="7">
        <f>ReturnRoth</f>
        <v/>
      </c>
      <c r="Y33" s="7">
        <f>ReturnRoth</f>
        <v/>
      </c>
      <c r="Z33" s="7">
        <f>ReturnRoth</f>
        <v/>
      </c>
      <c r="AA33" s="7">
        <f>ReturnRoth</f>
        <v/>
      </c>
      <c r="AB33" s="7">
        <f>ReturnRoth</f>
        <v/>
      </c>
      <c r="AC33" s="7">
        <f>ReturnRoth</f>
        <v/>
      </c>
      <c r="AD33" s="7">
        <f>ReturnRoth</f>
        <v/>
      </c>
      <c r="AE33" s="7">
        <f>ReturnRoth</f>
        <v/>
      </c>
    </row>
    <row r="34">
      <c r="A34" t="inlineStr"/>
    </row>
    <row r="35">
      <c r="A35" s="12" t="inlineStr">
        <is>
          <t>VARIANCE</t>
        </is>
      </c>
    </row>
    <row r="36">
      <c r="A36" s="11" t="inlineStr">
        <is>
          <t>After-Tax Δ</t>
        </is>
      </c>
      <c r="B36" s="7">
        <f>B26-B31</f>
        <v/>
      </c>
      <c r="C36" s="7">
        <f>C26-C31</f>
        <v/>
      </c>
      <c r="D36" s="7">
        <f>D26-D31</f>
        <v/>
      </c>
      <c r="E36" s="7">
        <f>E26-E31</f>
        <v/>
      </c>
      <c r="F36" s="7">
        <f>F26-F31</f>
        <v/>
      </c>
      <c r="G36" s="7">
        <f>G26-G31</f>
        <v/>
      </c>
      <c r="H36" s="7">
        <f>H26-H31</f>
        <v/>
      </c>
      <c r="I36" s="7">
        <f>I26-I31</f>
        <v/>
      </c>
      <c r="J36" s="7">
        <f>J26-J31</f>
        <v/>
      </c>
      <c r="K36" s="7">
        <f>K26-K31</f>
        <v/>
      </c>
      <c r="L36" s="7">
        <f>L26-L31</f>
        <v/>
      </c>
      <c r="M36" s="7">
        <f>M26-M31</f>
        <v/>
      </c>
      <c r="N36" s="7">
        <f>N26-N31</f>
        <v/>
      </c>
      <c r="O36" s="7">
        <f>O26-O31</f>
        <v/>
      </c>
      <c r="P36" s="7">
        <f>P26-P31</f>
        <v/>
      </c>
      <c r="Q36" s="7">
        <f>Q26-Q31</f>
        <v/>
      </c>
      <c r="R36" s="7">
        <f>R26-R31</f>
        <v/>
      </c>
      <c r="S36" s="7">
        <f>S26-S31</f>
        <v/>
      </c>
      <c r="T36" s="7">
        <f>T26-T31</f>
        <v/>
      </c>
      <c r="U36" s="7">
        <f>U26-U31</f>
        <v/>
      </c>
      <c r="V36" s="7">
        <f>V26-V31</f>
        <v/>
      </c>
      <c r="W36" s="7">
        <f>W26-W31</f>
        <v/>
      </c>
      <c r="X36" s="7">
        <f>X26-X31</f>
        <v/>
      </c>
      <c r="Y36" s="7">
        <f>Y26-Y31</f>
        <v/>
      </c>
      <c r="Z36" s="7">
        <f>Z26-Z31</f>
        <v/>
      </c>
      <c r="AA36" s="7">
        <f>AA26-AA31</f>
        <v/>
      </c>
      <c r="AB36" s="7">
        <f>AB26-AB31</f>
        <v/>
      </c>
      <c r="AC36" s="7">
        <f>AC26-AC31</f>
        <v/>
      </c>
      <c r="AD36" s="7">
        <f>AD26-AD31</f>
        <v/>
      </c>
      <c r="AE36" s="7">
        <f>AE26-AE31</f>
        <v/>
      </c>
    </row>
    <row r="37">
      <c r="A37" s="11" t="inlineStr">
        <is>
          <t>IRA Δ</t>
        </is>
      </c>
      <c r="B37" s="7">
        <f>B27-B32</f>
        <v/>
      </c>
      <c r="C37" s="7">
        <f>C27-C32</f>
        <v/>
      </c>
      <c r="D37" s="7">
        <f>D27-D32</f>
        <v/>
      </c>
      <c r="E37" s="7">
        <f>E27-E32</f>
        <v/>
      </c>
      <c r="F37" s="7">
        <f>F27-F32</f>
        <v/>
      </c>
      <c r="G37" s="7">
        <f>G27-G32</f>
        <v/>
      </c>
      <c r="H37" s="7">
        <f>H27-H32</f>
        <v/>
      </c>
      <c r="I37" s="7">
        <f>I27-I32</f>
        <v/>
      </c>
      <c r="J37" s="7">
        <f>J27-J32</f>
        <v/>
      </c>
      <c r="K37" s="7">
        <f>K27-K32</f>
        <v/>
      </c>
      <c r="L37" s="7">
        <f>L27-L32</f>
        <v/>
      </c>
      <c r="M37" s="7">
        <f>M27-M32</f>
        <v/>
      </c>
      <c r="N37" s="7">
        <f>N27-N32</f>
        <v/>
      </c>
      <c r="O37" s="7">
        <f>O27-O32</f>
        <v/>
      </c>
      <c r="P37" s="7">
        <f>P27-P32</f>
        <v/>
      </c>
      <c r="Q37" s="7">
        <f>Q27-Q32</f>
        <v/>
      </c>
      <c r="R37" s="7">
        <f>R27-R32</f>
        <v/>
      </c>
      <c r="S37" s="7">
        <f>S27-S32</f>
        <v/>
      </c>
      <c r="T37" s="7">
        <f>T27-T32</f>
        <v/>
      </c>
      <c r="U37" s="7">
        <f>U27-U32</f>
        <v/>
      </c>
      <c r="V37" s="7">
        <f>V27-V32</f>
        <v/>
      </c>
      <c r="W37" s="7">
        <f>W27-W32</f>
        <v/>
      </c>
      <c r="X37" s="7">
        <f>X27-X32</f>
        <v/>
      </c>
      <c r="Y37" s="7">
        <f>Y27-Y32</f>
        <v/>
      </c>
      <c r="Z37" s="7">
        <f>Z27-Z32</f>
        <v/>
      </c>
      <c r="AA37" s="7">
        <f>AA27-AA32</f>
        <v/>
      </c>
      <c r="AB37" s="7">
        <f>AB27-AB32</f>
        <v/>
      </c>
      <c r="AC37" s="7">
        <f>AC27-AC32</f>
        <v/>
      </c>
      <c r="AD37" s="7">
        <f>AD27-AD32</f>
        <v/>
      </c>
      <c r="AE37" s="7">
        <f>AE27-AE32</f>
        <v/>
      </c>
    </row>
    <row r="38">
      <c r="A38" s="11" t="inlineStr">
        <is>
          <t>Roth Δ</t>
        </is>
      </c>
      <c r="B38" s="7">
        <f>B28-B33</f>
        <v/>
      </c>
      <c r="C38" s="7">
        <f>C28-C33</f>
        <v/>
      </c>
      <c r="D38" s="7">
        <f>D28-D33</f>
        <v/>
      </c>
      <c r="E38" s="7">
        <f>E28-E33</f>
        <v/>
      </c>
      <c r="F38" s="7">
        <f>F28-F33</f>
        <v/>
      </c>
      <c r="G38" s="7">
        <f>G28-G33</f>
        <v/>
      </c>
      <c r="H38" s="7">
        <f>H28-H33</f>
        <v/>
      </c>
      <c r="I38" s="7">
        <f>I28-I33</f>
        <v/>
      </c>
      <c r="J38" s="7">
        <f>J28-J33</f>
        <v/>
      </c>
      <c r="K38" s="7">
        <f>K28-K33</f>
        <v/>
      </c>
      <c r="L38" s="7">
        <f>L28-L33</f>
        <v/>
      </c>
      <c r="M38" s="7">
        <f>M28-M33</f>
        <v/>
      </c>
      <c r="N38" s="7">
        <f>N28-N33</f>
        <v/>
      </c>
      <c r="O38" s="7">
        <f>O28-O33</f>
        <v/>
      </c>
      <c r="P38" s="7">
        <f>P28-P33</f>
        <v/>
      </c>
      <c r="Q38" s="7">
        <f>Q28-Q33</f>
        <v/>
      </c>
      <c r="R38" s="7">
        <f>R28-R33</f>
        <v/>
      </c>
      <c r="S38" s="7">
        <f>S28-S33</f>
        <v/>
      </c>
      <c r="T38" s="7">
        <f>T28-T33</f>
        <v/>
      </c>
      <c r="U38" s="7">
        <f>U28-U33</f>
        <v/>
      </c>
      <c r="V38" s="7">
        <f>V28-V33</f>
        <v/>
      </c>
      <c r="W38" s="7">
        <f>W28-W33</f>
        <v/>
      </c>
      <c r="X38" s="7">
        <f>X28-X33</f>
        <v/>
      </c>
      <c r="Y38" s="7">
        <f>Y28-Y33</f>
        <v/>
      </c>
      <c r="Z38" s="7">
        <f>Z28-Z33</f>
        <v/>
      </c>
      <c r="AA38" s="7">
        <f>AA28-AA33</f>
        <v/>
      </c>
      <c r="AB38" s="7">
        <f>AB28-AB33</f>
        <v/>
      </c>
      <c r="AC38" s="7">
        <f>AC28-AC33</f>
        <v/>
      </c>
      <c r="AD38" s="7">
        <f>AD28-AD33</f>
        <v/>
      </c>
      <c r="AE38" s="7">
        <f>AE28-AE33</f>
        <v/>
      </c>
    </row>
    <row r="40">
      <c r="A40" s="13" t="inlineStr">
        <is>
          <t>NOTE: This tab shows recommended asset allocation to maintain your risk ladder.</t>
        </is>
      </c>
    </row>
    <row r="41">
      <c r="A41" s="13" t="inlineStr">
        <is>
          <t>The 'Blended Returns' show what each account should earn if properly allocated.</t>
        </is>
      </c>
    </row>
    <row r="42">
      <c r="A42" s="13" t="inlineStr">
        <is>
          <t>The 'Variance' rows show the difference between recommended and current model assumptions.</t>
        </is>
      </c>
    </row>
    <row r="43">
      <c r="A43" s="13" t="inlineStr">
        <is>
          <t>To use blended returns in projections, copy the blended return values to the Inputs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2025-12-28T20:55:30Z</dcterms:created>
  <dcterms:modified xmlns:dcterms="http://purl.org/dc/terms/" xmlns:xsi="http://www.w3.org/2001/XMLSchema-instance" xsi:type="dcterms:W3CDTF">2025-12-28T20:55:30Z</dcterms:modified>
</cp:coreProperties>
</file>